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defaultThemeVersion="202300"/>
  <mc:AlternateContent xmlns:mc="http://schemas.openxmlformats.org/markup-compatibility/2006">
    <mc:Choice Requires="x15">
      <x15ac:absPath xmlns:x15ac="http://schemas.microsoft.com/office/spreadsheetml/2010/11/ac" url="https://d.docs.live.net/0985411813b6efcf/Documents/Downloads/"/>
    </mc:Choice>
  </mc:AlternateContent>
  <xr:revisionPtr revIDLastSave="34" documentId="8_{99C3CEB1-A4BB-46C4-9BE4-FC2E2E160428}" xr6:coauthVersionLast="47" xr6:coauthVersionMax="47" xr10:uidLastSave="{46DDCDEF-6A57-4FB1-BA4A-FDD9D6090603}"/>
  <bookViews>
    <workbookView xWindow="-110" yWindow="-110" windowWidth="19420" windowHeight="10420" activeTab="1" xr2:uid="{F52F3567-4E49-4588-996E-8D84B39B39E8}"/>
  </bookViews>
  <sheets>
    <sheet name="Data Analysis" sheetId="1" r:id="rId1"/>
    <sheet name="Sheet1" sheetId="2" r:id="rId2"/>
  </sheets>
  <definedNames>
    <definedName name="Slicer_Category">#N/A</definedName>
    <definedName name="Slicer_City">#N/A</definedName>
    <definedName name="Slicer_Product">#N/A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AK54" authorId="0" shapeId="0" xr:uid="{87916BDB-D70C-4A81-B24F-E5BBA5EABB91}">
      <text>
        <r>
          <rPr>
            <b/>
            <sz val="9"/>
            <color indexed="81"/>
            <rFont val="Tahoma"/>
            <family val="2"/>
          </rPr>
          <t>USER:</t>
        </r>
        <r>
          <rPr>
            <sz val="9"/>
            <color indexed="81"/>
            <rFont val="Tahoma"/>
            <family val="2"/>
          </rPr>
          <t xml:space="preserve">
</t>
        </r>
      </text>
    </comment>
  </commentList>
</comments>
</file>

<file path=xl/sharedStrings.xml><?xml version="1.0" encoding="utf-8"?>
<sst xmlns="http://schemas.openxmlformats.org/spreadsheetml/2006/main" count="425" uniqueCount="109">
  <si>
    <t>Order_ID</t>
  </si>
  <si>
    <t>Order_Date</t>
  </si>
  <si>
    <t>Customer_Name</t>
  </si>
  <si>
    <t>City</t>
  </si>
  <si>
    <t>Product</t>
  </si>
  <si>
    <t>Category</t>
  </si>
  <si>
    <t>Quantity</t>
  </si>
  <si>
    <t>Unit_Price</t>
  </si>
  <si>
    <t>Payment_Mode</t>
  </si>
  <si>
    <t>Sales_Rep</t>
  </si>
  <si>
    <t>Revenue</t>
  </si>
  <si>
    <t>Month</t>
  </si>
  <si>
    <t>ORD1028</t>
  </si>
  <si>
    <t>Meena</t>
  </si>
  <si>
    <t>Chennai</t>
  </si>
  <si>
    <t>Headphones</t>
  </si>
  <si>
    <t>Electronics</t>
  </si>
  <si>
    <t>Credit Card</t>
  </si>
  <si>
    <t>Ramesh</t>
  </si>
  <si>
    <t>Jan</t>
  </si>
  <si>
    <t>ORD1041</t>
  </si>
  <si>
    <t>Sneha</t>
  </si>
  <si>
    <t>Unknown</t>
  </si>
  <si>
    <t>Keyboard</t>
  </si>
  <si>
    <t>Vikram</t>
  </si>
  <si>
    <t>ORD1045</t>
  </si>
  <si>
    <t>Hyderabad</t>
  </si>
  <si>
    <t>Cash</t>
  </si>
  <si>
    <t>ORD1002</t>
  </si>
  <si>
    <t>Neha</t>
  </si>
  <si>
    <t>ORD1004</t>
  </si>
  <si>
    <t>Suresh</t>
  </si>
  <si>
    <t>Pune</t>
  </si>
  <si>
    <t>ORD1024</t>
  </si>
  <si>
    <t>Arjun</t>
  </si>
  <si>
    <t>Laptop</t>
  </si>
  <si>
    <t>Debit Card</t>
  </si>
  <si>
    <t>ORD1040</t>
  </si>
  <si>
    <t>Priya</t>
  </si>
  <si>
    <t>Lakshmi</t>
  </si>
  <si>
    <t>ORD1044</t>
  </si>
  <si>
    <t>Bangalore</t>
  </si>
  <si>
    <t>ORD1034</t>
  </si>
  <si>
    <t>Office Chair</t>
  </si>
  <si>
    <t>Furniture</t>
  </si>
  <si>
    <t>Feb</t>
  </si>
  <si>
    <t>ORD1013</t>
  </si>
  <si>
    <t>Ravi</t>
  </si>
  <si>
    <t>UPI</t>
  </si>
  <si>
    <t>ORD1007</t>
  </si>
  <si>
    <t>Rahul</t>
  </si>
  <si>
    <t>ORD1036</t>
  </si>
  <si>
    <t>Monitor</t>
  </si>
  <si>
    <t>ORD1006</t>
  </si>
  <si>
    <t>Mar</t>
  </si>
  <si>
    <t>ORD1027</t>
  </si>
  <si>
    <t>Anil</t>
  </si>
  <si>
    <t>ORD1038</t>
  </si>
  <si>
    <t>ORD1005</t>
  </si>
  <si>
    <t>ORD1001</t>
  </si>
  <si>
    <t>ORD1015</t>
  </si>
  <si>
    <t>ORD1039</t>
  </si>
  <si>
    <t>ORD1003</t>
  </si>
  <si>
    <t>Apr</t>
  </si>
  <si>
    <t>ORD1009</t>
  </si>
  <si>
    <t>ORD1016</t>
  </si>
  <si>
    <t>Divya</t>
  </si>
  <si>
    <t>ORD1023</t>
  </si>
  <si>
    <t>ORD1025</t>
  </si>
  <si>
    <t>ORD1031</t>
  </si>
  <si>
    <t>ORD1019</t>
  </si>
  <si>
    <t>ORD1020</t>
  </si>
  <si>
    <t>May</t>
  </si>
  <si>
    <t>ORD1033</t>
  </si>
  <si>
    <t>Desk</t>
  </si>
  <si>
    <t>ORD1029</t>
  </si>
  <si>
    <t>ORD1037</t>
  </si>
  <si>
    <t>Jun</t>
  </si>
  <si>
    <t>ORD1011</t>
  </si>
  <si>
    <t>ORD1012</t>
  </si>
  <si>
    <t>ORD1030</t>
  </si>
  <si>
    <t>ORD1022</t>
  </si>
  <si>
    <t>Jul</t>
  </si>
  <si>
    <t>ORD1018</t>
  </si>
  <si>
    <t>ORD1026</t>
  </si>
  <si>
    <t>ORD1017</t>
  </si>
  <si>
    <t>Kiran</t>
  </si>
  <si>
    <t>ORD1010</t>
  </si>
  <si>
    <t>Aug</t>
  </si>
  <si>
    <t>ORD1014</t>
  </si>
  <si>
    <t>ORD1008</t>
  </si>
  <si>
    <t>ORD1035</t>
  </si>
  <si>
    <t>ORD1042</t>
  </si>
  <si>
    <t>Sep</t>
  </si>
  <si>
    <t>ORD1032</t>
  </si>
  <si>
    <t>ORD1021</t>
  </si>
  <si>
    <t>Grand Total</t>
  </si>
  <si>
    <t>Orders</t>
  </si>
  <si>
    <t xml:space="preserve"> Quantity</t>
  </si>
  <si>
    <t>s</t>
  </si>
  <si>
    <t>Total Revenue</t>
  </si>
  <si>
    <t>Total Orders</t>
  </si>
  <si>
    <t>Avg Order Value</t>
  </si>
  <si>
    <t>Total Units</t>
  </si>
  <si>
    <t xml:space="preserve">Total Revenue </t>
  </si>
  <si>
    <t>Revenue &amp; Share</t>
  </si>
  <si>
    <t>Payment Mode</t>
  </si>
  <si>
    <t>Sale Rep</t>
  </si>
  <si>
    <t>Orders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</si>
</sst>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_(* \(#,##0.00\);_(* &quot;-&quot;??_);_(@_)"/>
    <numFmt numFmtId="164" formatCode="dd\-mm\-yyyy"/>
    <numFmt numFmtId="165" formatCode="_(* #,##0_);_(* \(#,##0\);_(* &quot;-&quot;??_);_(@_)"/>
    <numFmt numFmtId="166" formatCode="[&gt;=1000000]0.0,,&quot; M&quot;;[&gt;=1000]0,&quot;K&quot;;0"/>
  </numFmts>
  <fonts count="6" x14ac:knownFonts="1">
    <font>
      <sz val="11"/>
      <color theme="1"/>
      <name val="Calibri"/>
      <family val="2"/>
    </font>
    <font>
      <sz val="11"/>
      <color theme="1"/>
      <name val="Calibri"/>
      <family val="2"/>
    </font>
    <font>
      <b/>
      <sz val="11"/>
      <color rgb="FFFFFFFF"/>
      <name val="Calibri"/>
    </font>
    <font>
      <sz val="12"/>
      <color theme="1"/>
      <name val="Calibri"/>
      <family val="2"/>
    </font>
    <font>
      <sz val="9"/>
      <color indexed="81"/>
      <name val="Tahoma"/>
      <family val="2"/>
    </font>
    <font>
      <b/>
      <sz val="9"/>
      <color indexed="81"/>
      <name val="Tahoma"/>
      <family val="2"/>
    </font>
  </fonts>
  <fills count="4">
    <fill>
      <patternFill patternType="none"/>
    </fill>
    <fill>
      <patternFill patternType="gray125"/>
    </fill>
    <fill>
      <patternFill patternType="solid">
        <fgColor rgb="FF1F4E78"/>
      </patternFill>
    </fill>
    <fill>
      <patternFill patternType="solid">
        <fgColor theme="0"/>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13">
    <xf numFmtId="0" fontId="0" fillId="0" borderId="0" xfId="0"/>
    <xf numFmtId="0" fontId="2" fillId="2" borderId="0" xfId="0" applyFont="1" applyFill="1" applyAlignment="1">
      <alignment horizontal="center"/>
    </xf>
    <xf numFmtId="164" fontId="0" fillId="0" borderId="0" xfId="0" applyNumberFormat="1"/>
    <xf numFmtId="3" fontId="0" fillId="0" borderId="0" xfId="0" applyNumberFormat="1"/>
    <xf numFmtId="165" fontId="0" fillId="0" borderId="0" xfId="1" applyNumberFormat="1" applyFont="1"/>
    <xf numFmtId="0" fontId="0" fillId="0" borderId="0" xfId="0" pivotButton="1"/>
    <xf numFmtId="0" fontId="0" fillId="0" borderId="0" xfId="0" applyAlignment="1">
      <alignment horizontal="left"/>
    </xf>
    <xf numFmtId="0" fontId="3" fillId="0" borderId="0" xfId="0" applyFont="1"/>
    <xf numFmtId="166" fontId="0" fillId="0" borderId="0" xfId="0" applyNumberFormat="1"/>
    <xf numFmtId="0" fontId="0" fillId="3" borderId="0" xfId="0" applyFill="1"/>
    <xf numFmtId="165" fontId="0" fillId="0" borderId="0" xfId="0" applyNumberFormat="1"/>
    <xf numFmtId="10" fontId="0" fillId="0" borderId="0" xfId="0" applyNumberFormat="1"/>
    <xf numFmtId="0" fontId="0" fillId="0" borderId="0" xfId="0" applyNumberFormat="1"/>
  </cellXfs>
  <cellStyles count="2">
    <cellStyle name="Comma" xfId="1" builtinId="3"/>
    <cellStyle name="Normal" xfId="0" builtinId="0"/>
  </cellStyles>
  <dxfs count="70">
    <dxf>
      <numFmt numFmtId="165" formatCode="_(* #,##0_);_(* \(#,##0\);_(* &quot;-&quot;??_);_(@_)"/>
    </dxf>
    <dxf>
      <numFmt numFmtId="0" formatCode="General"/>
    </dxf>
    <dxf>
      <numFmt numFmtId="166" formatCode="[&gt;=1000000]0.0,,&quot; M&quot;;[&gt;=1000]0,&quot;K&quot;;0"/>
    </dxf>
    <dxf>
      <numFmt numFmtId="166" formatCode="[&gt;=1000000]0.0,,&quot; M&quot;;[&gt;=1000]0,&quot;K&quot;;0"/>
    </dxf>
    <dxf>
      <numFmt numFmtId="166" formatCode="[&gt;=1000000]0.0,,&quot; M&quot;;[&gt;=1000]0,&quot;K&quot;;0"/>
    </dxf>
    <dxf>
      <numFmt numFmtId="165" formatCode="_(* #,##0_);_(* \(#,##0\);_(* &quot;-&quot;??_);_(@_)"/>
    </dxf>
    <dxf>
      <numFmt numFmtId="165" formatCode="_(* #,##0_);_(* \(#,##0\);_(* &quot;-&quot;??_);_(@_)"/>
    </dxf>
    <dxf>
      <numFmt numFmtId="14" formatCode="0.00%"/>
    </dxf>
    <dxf>
      <numFmt numFmtId="166" formatCode="[&gt;=1000000]0.0,,&quot; M&quot;;[&gt;=1000]0,&quot;K&quot;;0"/>
    </dxf>
    <dxf>
      <numFmt numFmtId="166" formatCode="[&gt;=1000000]0.0,,&quot; M&quot;;[&gt;=1000]0,&quot;K&quot;;0"/>
    </dxf>
    <dxf>
      <numFmt numFmtId="165" formatCode="_(* #,##0_);_(* \(#,##0\);_(* &quot;-&quot;??_);_(@_)"/>
    </dxf>
    <dxf>
      <numFmt numFmtId="165" formatCode="_(* #,##0_);_(* \(#,##0\);_(* &quot;-&quot;??_);_(@_)"/>
    </dxf>
    <dxf>
      <numFmt numFmtId="166" formatCode="[&gt;=1000000]0.0,,&quot; M&quot;;[&gt;=1000]0,&quot;K&quot;;0"/>
    </dxf>
    <dxf>
      <numFmt numFmtId="165" formatCode="_(* #,##0_);_(* \(#,##0\);_(* &quot;-&quot;??_);_(@_)"/>
    </dxf>
    <dxf>
      <numFmt numFmtId="0" formatCode="General"/>
    </dxf>
    <dxf>
      <numFmt numFmtId="166" formatCode="[&gt;=1000000]0.0,,&quot; M&quot;;[&gt;=1000]0,&quot;K&quot;;0"/>
    </dxf>
    <dxf>
      <numFmt numFmtId="166" formatCode="[&gt;=1000000]0.0,,&quot; M&quot;;[&gt;=1000]0,&quot;K&quot;;0"/>
    </dxf>
    <dxf>
      <numFmt numFmtId="165" formatCode="_(* #,##0_);_(* \(#,##0\);_(* &quot;-&quot;??_);_(@_)"/>
    </dxf>
    <dxf>
      <numFmt numFmtId="0" formatCode="General"/>
    </dxf>
    <dxf>
      <numFmt numFmtId="166" formatCode="[&gt;=1000000]0.0,,&quot; M&quot;;[&gt;=1000]0,&quot;K&quot;;0"/>
    </dxf>
    <dxf>
      <numFmt numFmtId="166" formatCode="[&gt;=1000000]0.0,,&quot; M&quot;;[&gt;=1000]0,&quot;K&quot;;0"/>
    </dxf>
    <dxf>
      <numFmt numFmtId="166" formatCode="[&gt;=1000000]0.0,,&quot; M&quot;;[&gt;=1000]0,&quot;K&quot;;0"/>
    </dxf>
    <dxf>
      <numFmt numFmtId="165" formatCode="_(* #,##0_);_(* \(#,##0\);_(* &quot;-&quot;??_);_(@_)"/>
    </dxf>
    <dxf>
      <numFmt numFmtId="165" formatCode="_(* #,##0_);_(* \(#,##0\);_(* &quot;-&quot;??_);_(@_)"/>
    </dxf>
    <dxf>
      <numFmt numFmtId="14" formatCode="0.00%"/>
    </dxf>
    <dxf>
      <numFmt numFmtId="166" formatCode="[&gt;=1000000]0.0,,&quot; M&quot;;[&gt;=1000]0,&quot;K&quot;;0"/>
    </dxf>
    <dxf>
      <numFmt numFmtId="166" formatCode="[&gt;=1000000]0.0,,&quot; M&quot;;[&gt;=1000]0,&quot;K&quot;;0"/>
    </dxf>
    <dxf>
      <numFmt numFmtId="165" formatCode="_(* #,##0_);_(* \(#,##0\);_(* &quot;-&quot;??_);_(@_)"/>
    </dxf>
    <dxf>
      <numFmt numFmtId="165" formatCode="_(* #,##0_);_(* \(#,##0\);_(* &quot;-&quot;??_);_(@_)"/>
    </dxf>
    <dxf>
      <numFmt numFmtId="166" formatCode="[&gt;=1000000]0.0,,&quot; M&quot;;[&gt;=1000]0,&quot;K&quot;;0"/>
    </dxf>
    <dxf>
      <numFmt numFmtId="165" formatCode="_(* #,##0_);_(* \(#,##0\);_(* &quot;-&quot;??_);_(@_)"/>
    </dxf>
    <dxf>
      <numFmt numFmtId="0" formatCode="General"/>
    </dxf>
    <dxf>
      <numFmt numFmtId="166" formatCode="[&gt;=1000000]0.0,,&quot; M&quot;;[&gt;=1000]0,&quot;K&quot;;0"/>
    </dxf>
    <dxf>
      <numFmt numFmtId="166" formatCode="[&gt;=1000000]0.0,,&quot; M&quot;;[&gt;=1000]0,&quot;K&quot;;0"/>
    </dxf>
    <dxf>
      <numFmt numFmtId="165" formatCode="_(* #,##0_);_(* \(#,##0\);_(* &quot;-&quot;??_);_(@_)"/>
    </dxf>
    <dxf>
      <numFmt numFmtId="0" formatCode="General"/>
    </dxf>
    <dxf>
      <numFmt numFmtId="166" formatCode="[&gt;=1000000]0.0,,&quot; M&quot;;[&gt;=1000]0,&quot;K&quot;;0"/>
    </dxf>
    <dxf>
      <numFmt numFmtId="166" formatCode="[&gt;=1000000]0.0,,&quot; M&quot;;[&gt;=1000]0,&quot;K&quot;;0"/>
    </dxf>
    <dxf>
      <numFmt numFmtId="166" formatCode="[&gt;=1000000]0.0,,&quot; M&quot;;[&gt;=1000]0,&quot;K&quot;;0"/>
    </dxf>
    <dxf>
      <numFmt numFmtId="165" formatCode="_(* #,##0_);_(* \(#,##0\);_(* &quot;-&quot;??_);_(@_)"/>
    </dxf>
    <dxf>
      <numFmt numFmtId="165" formatCode="_(* #,##0_);_(* \(#,##0\);_(* &quot;-&quot;??_);_(@_)"/>
    </dxf>
    <dxf>
      <numFmt numFmtId="14" formatCode="0.00%"/>
    </dxf>
    <dxf>
      <numFmt numFmtId="166" formatCode="[&gt;=1000000]0.0,,&quot; M&quot;;[&gt;=1000]0,&quot;K&quot;;0"/>
    </dxf>
    <dxf>
      <numFmt numFmtId="166" formatCode="[&gt;=1000000]0.0,,&quot; M&quot;;[&gt;=1000]0,&quot;K&quot;;0"/>
    </dxf>
    <dxf>
      <numFmt numFmtId="165" formatCode="_(* #,##0_);_(* \(#,##0\);_(* &quot;-&quot;??_);_(@_)"/>
    </dxf>
    <dxf>
      <numFmt numFmtId="165" formatCode="_(* #,##0_);_(* \(#,##0\);_(* &quot;-&quot;??_);_(@_)"/>
    </dxf>
    <dxf>
      <numFmt numFmtId="166" formatCode="[&gt;=1000000]0.0,,&quot; M&quot;;[&gt;=1000]0,&quot;K&quot;;0"/>
    </dxf>
    <dxf>
      <numFmt numFmtId="165" formatCode="_(* #,##0_);_(* \(#,##0\);_(* &quot;-&quot;??_);_(@_)"/>
    </dxf>
    <dxf>
      <numFmt numFmtId="0" formatCode="General"/>
    </dxf>
    <dxf>
      <numFmt numFmtId="166" formatCode="[&gt;=1000000]0.0,,&quot; M&quot;;[&gt;=1000]0,&quot;K&quot;;0"/>
    </dxf>
    <dxf>
      <numFmt numFmtId="166" formatCode="[&gt;=1000000]0.0,,&quot; M&quot;;[&gt;=1000]0,&quot;K&quot;;0"/>
    </dxf>
    <dxf>
      <numFmt numFmtId="166" formatCode="[&gt;=1000000]0.0,,&quot; M&quot;;[&gt;=1000]0,&quot;K&quot;;0"/>
    </dxf>
    <dxf>
      <numFmt numFmtId="166" formatCode="[&gt;=1000000]0.0,,&quot; M&quot;;[&gt;=1000]0,&quot;K&quot;;0"/>
    </dxf>
    <dxf>
      <numFmt numFmtId="166" formatCode="[&gt;=1000000]0.0,,&quot; M&quot;;[&gt;=1000]0,&quot;K&quot;;0"/>
    </dxf>
    <dxf>
      <numFmt numFmtId="0" formatCode="General"/>
    </dxf>
    <dxf>
      <numFmt numFmtId="165" formatCode="_(* #,##0_);_(* \(#,##0\);_(* &quot;-&quot;??_);_(@_)"/>
    </dxf>
    <dxf>
      <numFmt numFmtId="166" formatCode="[&gt;=1000000]0.0,,&quot; M&quot;;[&gt;=1000]0,&quot;K&quot;;0"/>
    </dxf>
    <dxf>
      <numFmt numFmtId="14" formatCode="0.00%"/>
    </dxf>
    <dxf>
      <numFmt numFmtId="165" formatCode="_(* #,##0_);_(* \(#,##0\);_(* &quot;-&quot;??_);_(@_)"/>
    </dxf>
    <dxf>
      <numFmt numFmtId="165" formatCode="_(* #,##0_);_(* \(#,##0\);_(* &quot;-&quot;??_);_(@_)"/>
    </dxf>
    <dxf>
      <numFmt numFmtId="166" formatCode="[&gt;=1000000]0.0,,&quot; M&quot;;[&gt;=1000]0,&quot;K&quot;;0"/>
    </dxf>
    <dxf>
      <numFmt numFmtId="165" formatCode="_(* #,##0_);_(* \(#,##0\);_(* &quot;-&quot;??_);_(@_)"/>
    </dxf>
    <dxf>
      <numFmt numFmtId="166" formatCode="[&gt;=1000000]0.0,,&quot; M&quot;;[&gt;=1000]0,&quot;K&quot;;0"/>
    </dxf>
    <dxf>
      <numFmt numFmtId="166" formatCode="[&gt;=1000000]0.0,,&quot; M&quot;;[&gt;=1000]0,&quot;K&quot;;0"/>
    </dxf>
    <dxf>
      <numFmt numFmtId="165" formatCode="_(* #,##0_);_(* \(#,##0\);_(* &quot;-&quot;??_);_(@_)"/>
    </dxf>
    <dxf>
      <numFmt numFmtId="166" formatCode="[&gt;=1000000]0.0,,&quot; M&quot;;[&gt;=1000]0,&quot;K&quot;;0"/>
    </dxf>
    <dxf>
      <numFmt numFmtId="166" formatCode="[&gt;=1000000]0.0,,&quot; M&quot;;[&gt;=1000]0,&quot;K&quot;;0"/>
    </dxf>
    <dxf>
      <numFmt numFmtId="0" formatCode="General"/>
    </dxf>
    <dxf>
      <numFmt numFmtId="165" formatCode="_(* #,##0_);_(* \(#,##0\);_(* &quot;-&quot;??_);_(@_)"/>
    </dxf>
    <dxf>
      <font>
        <b/>
        <i val="0"/>
      </font>
    </dxf>
  </dxfs>
  <tableStyles count="1" defaultTableStyle="TableStyleMedium2" defaultPivotStyle="PivotStyleLight16">
    <tableStyle name="Slicer Style 1" pivot="0" table="0" count="5" xr9:uid="{C481D6E0-3A44-4433-806C-81D4585B298A}">
      <tableStyleElement type="headerRow" dxfId="69"/>
    </tableStyle>
  </tableStyles>
  <colors>
    <mruColors>
      <color rgb="FFE53935"/>
    </mruColors>
  </colors>
  <extLst>
    <ext xmlns:x14="http://schemas.microsoft.com/office/spreadsheetml/2009/9/main" uri="{46F421CA-312F-682f-3DD2-61675219B42D}">
      <x14:dxfs count="4">
        <dxf>
          <fill>
            <patternFill>
              <bgColor rgb="FFFF0000"/>
            </patternFill>
          </fill>
        </dxf>
        <dxf>
          <fill>
            <patternFill>
              <bgColor rgb="FFFF0000"/>
            </patternFill>
          </fill>
        </dxf>
        <dxf>
          <fill>
            <patternFill>
              <bgColor rgb="FFFF0000"/>
            </patternFill>
          </fill>
        </dxf>
        <dxf>
          <font>
            <color theme="0"/>
          </font>
          <fill>
            <patternFill>
              <bgColor rgb="FFFF000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3"/>
            <x14:slicerStyleElement type="selectedItemWithNo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[SWYNEX-Interactive-Dashboard.xlsx]Sheet1!PivotTable5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Revenue</a:t>
            </a:r>
            <a:r>
              <a:rPr lang="en-US" b="1" baseline="0">
                <a:solidFill>
                  <a:schemeClr val="bg1"/>
                </a:solidFill>
              </a:rPr>
              <a:t> by Product</a:t>
            </a:r>
            <a:endParaRPr lang="en-US" b="1">
              <a:solidFill>
                <a:schemeClr val="bg1"/>
              </a:solidFill>
            </a:endParaRPr>
          </a:p>
        </c:rich>
      </c:tx>
      <c:layout>
        <c:manualLayout>
          <c:xMode val="edge"/>
          <c:yMode val="edge"/>
          <c:x val="0.33017660495220391"/>
          <c:y val="8.51926977687626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70C0"/>
          </a:solidFill>
          <a:ln>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0C0"/>
          </a:solidFill>
          <a:ln>
            <a:solidFill>
              <a:srgbClr val="00B050"/>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42A516A1-7167-4F3D-BF60-5BFAA7C17B28}" type="VALUE">
                  <a:rPr lang="en-US" b="1">
                    <a:solidFill>
                      <a:schemeClr val="bg1"/>
                    </a:solidFill>
                  </a:rPr>
                  <a:pPr>
                    <a:defRPr b="1">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rgbClr val="0070C0"/>
          </a:solidFill>
          <a:ln>
            <a:solidFill>
              <a:srgbClr val="00B050"/>
            </a:solidFill>
          </a:ln>
          <a:effectLst/>
        </c:spPr>
      </c:pivotFmt>
    </c:pivotFmts>
    <c:plotArea>
      <c:layout>
        <c:manualLayout>
          <c:layoutTarget val="inner"/>
          <c:xMode val="edge"/>
          <c:yMode val="edge"/>
          <c:x val="8.9222650627940089E-2"/>
          <c:y val="0.2512379702537183"/>
          <c:w val="0.91227964873220158"/>
          <c:h val="0.5391809568838537"/>
        </c:manualLayout>
      </c:layout>
      <c:barChart>
        <c:barDir val="col"/>
        <c:grouping val="clustered"/>
        <c:varyColors val="0"/>
        <c:ser>
          <c:idx val="0"/>
          <c:order val="0"/>
          <c:tx>
            <c:strRef>
              <c:f>Sheet1!$B$22</c:f>
              <c:strCache>
                <c:ptCount val="1"/>
                <c:pt idx="0">
                  <c:v>Total</c:v>
                </c:pt>
              </c:strCache>
            </c:strRef>
          </c:tx>
          <c:spPr>
            <a:solidFill>
              <a:srgbClr val="0070C0"/>
            </a:solidFill>
            <a:ln>
              <a:solidFill>
                <a:srgbClr val="00B050"/>
              </a:solidFill>
            </a:ln>
            <a:effectLst/>
          </c:spPr>
          <c:invertIfNegative val="0"/>
          <c:dPt>
            <c:idx val="4"/>
            <c:invertIfNegative val="0"/>
            <c:bubble3D val="0"/>
            <c:spPr>
              <a:solidFill>
                <a:srgbClr val="0070C0"/>
              </a:solidFill>
              <a:ln>
                <a:solidFill>
                  <a:srgbClr val="00B050"/>
                </a:solidFill>
              </a:ln>
              <a:effectLst/>
            </c:spPr>
            <c:extLst>
              <c:ext xmlns:c16="http://schemas.microsoft.com/office/drawing/2014/chart" uri="{C3380CC4-5D6E-409C-BE32-E72D297353CC}">
                <c16:uniqueId val="{00000002-8F58-471A-B3B7-C2CAD219D25C}"/>
              </c:ext>
            </c:extLst>
          </c:dPt>
          <c:dLbls>
            <c:dLbl>
              <c:idx val="4"/>
              <c:tx>
                <c:rich>
                  <a:bodyPr/>
                  <a:lstStyle/>
                  <a:p>
                    <a:fld id="{42A516A1-7167-4F3D-BF60-5BFAA7C17B28}" type="VALUE">
                      <a:rPr lang="en-US" b="1">
                        <a:solidFill>
                          <a:schemeClr val="bg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8F58-471A-B3B7-C2CAD219D25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Sheet1!$A$23:$A$29</c:f>
              <c:strCache>
                <c:ptCount val="6"/>
                <c:pt idx="0">
                  <c:v>Desk</c:v>
                </c:pt>
                <c:pt idx="1">
                  <c:v>Headphones</c:v>
                </c:pt>
                <c:pt idx="2">
                  <c:v>Keyboard</c:v>
                </c:pt>
                <c:pt idx="3">
                  <c:v>Laptop</c:v>
                </c:pt>
                <c:pt idx="4">
                  <c:v>Monitor</c:v>
                </c:pt>
                <c:pt idx="5">
                  <c:v>Office Chair</c:v>
                </c:pt>
              </c:strCache>
            </c:strRef>
          </c:cat>
          <c:val>
            <c:numRef>
              <c:f>Sheet1!$B$23:$B$29</c:f>
              <c:numCache>
                <c:formatCode>[&gt;=1000000]0.0,," M";[&gt;=1000]0,"K";0</c:formatCode>
                <c:ptCount val="6"/>
                <c:pt idx="0">
                  <c:v>240000</c:v>
                </c:pt>
                <c:pt idx="1">
                  <c:v>84000</c:v>
                </c:pt>
                <c:pt idx="2">
                  <c:v>122500</c:v>
                </c:pt>
                <c:pt idx="3">
                  <c:v>780000</c:v>
                </c:pt>
                <c:pt idx="4">
                  <c:v>270000</c:v>
                </c:pt>
                <c:pt idx="5">
                  <c:v>170000</c:v>
                </c:pt>
              </c:numCache>
            </c:numRef>
          </c:val>
          <c:extLst>
            <c:ext xmlns:c16="http://schemas.microsoft.com/office/drawing/2014/chart" uri="{C3380CC4-5D6E-409C-BE32-E72D297353CC}">
              <c16:uniqueId val="{00000000-8F58-471A-B3B7-C2CAD219D25C}"/>
            </c:ext>
          </c:extLst>
        </c:ser>
        <c:dLbls>
          <c:dLblPos val="outEnd"/>
          <c:showLegendKey val="0"/>
          <c:showVal val="1"/>
          <c:showCatName val="0"/>
          <c:showSerName val="0"/>
          <c:showPercent val="0"/>
          <c:showBubbleSize val="0"/>
        </c:dLbls>
        <c:gapWidth val="219"/>
        <c:overlap val="-27"/>
        <c:axId val="1897695423"/>
        <c:axId val="1897692063"/>
      </c:barChart>
      <c:catAx>
        <c:axId val="189769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897692063"/>
        <c:crosses val="autoZero"/>
        <c:auto val="1"/>
        <c:lblAlgn val="ctr"/>
        <c:lblOffset val="100"/>
        <c:noMultiLvlLbl val="0"/>
      </c:catAx>
      <c:valAx>
        <c:axId val="1897692063"/>
        <c:scaling>
          <c:orientation val="minMax"/>
        </c:scaling>
        <c:delete val="0"/>
        <c:axPos val="l"/>
        <c:numFmt formatCode="[&gt;=1000000]0.0,,&quot; 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897695423"/>
        <c:crosses val="autoZero"/>
        <c:crossBetween val="between"/>
        <c:majorUnit val="20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000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[SWYNEX-Interactive-Dashboard.xlsx]Sheet1!PivotTable6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Revenue</a:t>
            </a:r>
            <a:r>
              <a:rPr lang="en-US" b="1" baseline="0">
                <a:solidFill>
                  <a:schemeClr val="bg1"/>
                </a:solidFill>
              </a:rPr>
              <a:t> by City</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Sheet1!$A$32:$A$37</c:f>
              <c:strCache>
                <c:ptCount val="5"/>
                <c:pt idx="0">
                  <c:v>Bangalore</c:v>
                </c:pt>
                <c:pt idx="1">
                  <c:v>Chennai</c:v>
                </c:pt>
                <c:pt idx="2">
                  <c:v>Hyderabad</c:v>
                </c:pt>
                <c:pt idx="3">
                  <c:v>Pune</c:v>
                </c:pt>
                <c:pt idx="4">
                  <c:v>Unknown</c:v>
                </c:pt>
              </c:strCache>
            </c:strRef>
          </c:cat>
          <c:val>
            <c:numRef>
              <c:f>Sheet1!$B$32:$B$37</c:f>
              <c:numCache>
                <c:formatCode>[&gt;=1000000]0.0,," M";[&gt;=1000]0,"K";0</c:formatCode>
                <c:ptCount val="5"/>
                <c:pt idx="0">
                  <c:v>569500</c:v>
                </c:pt>
                <c:pt idx="1">
                  <c:v>158000</c:v>
                </c:pt>
                <c:pt idx="2">
                  <c:v>632000</c:v>
                </c:pt>
                <c:pt idx="3">
                  <c:v>294500</c:v>
                </c:pt>
                <c:pt idx="4">
                  <c:v>12500</c:v>
                </c:pt>
              </c:numCache>
            </c:numRef>
          </c:val>
          <c:extLst>
            <c:ext xmlns:c16="http://schemas.microsoft.com/office/drawing/2014/chart" uri="{C3380CC4-5D6E-409C-BE32-E72D297353CC}">
              <c16:uniqueId val="{00000000-14C4-4A3E-B363-54D70D5BA92E}"/>
            </c:ext>
          </c:extLst>
        </c:ser>
        <c:dLbls>
          <c:dLblPos val="outEnd"/>
          <c:showLegendKey val="0"/>
          <c:showVal val="1"/>
          <c:showCatName val="0"/>
          <c:showSerName val="0"/>
          <c:showPercent val="0"/>
          <c:showBubbleSize val="0"/>
        </c:dLbls>
        <c:gapWidth val="182"/>
        <c:axId val="2081648639"/>
        <c:axId val="2081642399"/>
      </c:barChart>
      <c:catAx>
        <c:axId val="2081648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2081642399"/>
        <c:crosses val="autoZero"/>
        <c:auto val="1"/>
        <c:lblAlgn val="ctr"/>
        <c:lblOffset val="100"/>
        <c:noMultiLvlLbl val="0"/>
      </c:catAx>
      <c:valAx>
        <c:axId val="2081642399"/>
        <c:scaling>
          <c:orientation val="minMax"/>
        </c:scaling>
        <c:delete val="0"/>
        <c:axPos val="b"/>
        <c:numFmt formatCode="[&gt;=1000000]0.0,,&quot; 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20816486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000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[SWYNEX-Interactive-Dashboard.xlsx]Sheet1!PivotTable7</c:name>
    <c:fmtId val="97"/>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Monthly</a:t>
            </a:r>
            <a:r>
              <a:rPr lang="en-US" b="1" baseline="0">
                <a:solidFill>
                  <a:schemeClr val="bg1"/>
                </a:solidFill>
              </a:rPr>
              <a:t> Trend by Orders &amp; Units</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ln w="28575" cap="rnd">
            <a:solidFill>
              <a:schemeClr val="bg1">
                <a:lumMod val="95000"/>
              </a:schemeClr>
            </a:solidFill>
            <a:round/>
          </a:ln>
          <a:effectLst/>
        </c:spPr>
        <c:marker>
          <c:symbol val="circle"/>
          <c:size val="5"/>
          <c:spPr>
            <a:solidFill>
              <a:schemeClr val="bg1"/>
            </a:solidFill>
            <a:ln w="9525">
              <a:solidFill>
                <a:schemeClr val="bg1">
                  <a:lumMod val="9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bg2">
                <a:lumMod val="10000"/>
              </a:schemeClr>
            </a:solidFill>
            <a:round/>
          </a:ln>
          <a:effectLst/>
        </c:spPr>
        <c:marker>
          <c:symbol val="circle"/>
          <c:size val="5"/>
          <c:spPr>
            <a:solidFill>
              <a:schemeClr val="tx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Sheet1!$B$41</c:f>
              <c:strCache>
                <c:ptCount val="1"/>
                <c:pt idx="0">
                  <c:v>Orders</c:v>
                </c:pt>
              </c:strCache>
            </c:strRef>
          </c:tx>
          <c:spPr>
            <a:ln w="28575" cap="rnd">
              <a:solidFill>
                <a:schemeClr val="bg1">
                  <a:lumMod val="95000"/>
                </a:schemeClr>
              </a:solidFill>
              <a:round/>
            </a:ln>
            <a:effectLst/>
          </c:spPr>
          <c:marker>
            <c:symbol val="circle"/>
            <c:size val="5"/>
            <c:spPr>
              <a:solidFill>
                <a:schemeClr val="bg1"/>
              </a:solidFill>
              <a:ln w="9525">
                <a:solidFill>
                  <a:schemeClr val="bg1">
                    <a:lumMod val="95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Sheet1!$A$42:$A$51</c:f>
              <c:strCache>
                <c:ptCount val="9"/>
                <c:pt idx="0">
                  <c:v>Jan</c:v>
                </c:pt>
                <c:pt idx="1">
                  <c:v>Feb</c:v>
                </c:pt>
                <c:pt idx="2">
                  <c:v>Mar</c:v>
                </c:pt>
                <c:pt idx="3">
                  <c:v>Apr</c:v>
                </c:pt>
                <c:pt idx="4">
                  <c:v>May</c:v>
                </c:pt>
                <c:pt idx="5">
                  <c:v>Jun</c:v>
                </c:pt>
                <c:pt idx="6">
                  <c:v>Jul</c:v>
                </c:pt>
                <c:pt idx="7">
                  <c:v>Aug</c:v>
                </c:pt>
                <c:pt idx="8">
                  <c:v>Sep</c:v>
                </c:pt>
              </c:strCache>
            </c:strRef>
          </c:cat>
          <c:val>
            <c:numRef>
              <c:f>Sheet1!$B$42:$B$51</c:f>
              <c:numCache>
                <c:formatCode>[&gt;=1000000]0.0,," M";[&gt;=1000]0,"K";0</c:formatCode>
                <c:ptCount val="9"/>
                <c:pt idx="0">
                  <c:v>8</c:v>
                </c:pt>
                <c:pt idx="1">
                  <c:v>4</c:v>
                </c:pt>
                <c:pt idx="2">
                  <c:v>7</c:v>
                </c:pt>
                <c:pt idx="3">
                  <c:v>7</c:v>
                </c:pt>
                <c:pt idx="4">
                  <c:v>3</c:v>
                </c:pt>
                <c:pt idx="5">
                  <c:v>4</c:v>
                </c:pt>
                <c:pt idx="6">
                  <c:v>4</c:v>
                </c:pt>
                <c:pt idx="7">
                  <c:v>4</c:v>
                </c:pt>
                <c:pt idx="8">
                  <c:v>3</c:v>
                </c:pt>
              </c:numCache>
            </c:numRef>
          </c:val>
          <c:smooth val="0"/>
          <c:extLst>
            <c:ext xmlns:c16="http://schemas.microsoft.com/office/drawing/2014/chart" uri="{C3380CC4-5D6E-409C-BE32-E72D297353CC}">
              <c16:uniqueId val="{00000000-7074-4BCF-A121-7BEC033EE706}"/>
            </c:ext>
          </c:extLst>
        </c:ser>
        <c:ser>
          <c:idx val="1"/>
          <c:order val="1"/>
          <c:tx>
            <c:strRef>
              <c:f>Sheet1!$C$41</c:f>
              <c:strCache>
                <c:ptCount val="1"/>
                <c:pt idx="0">
                  <c:v> Quantity</c:v>
                </c:pt>
              </c:strCache>
            </c:strRef>
          </c:tx>
          <c:spPr>
            <a:ln w="28575" cap="rnd">
              <a:solidFill>
                <a:schemeClr val="bg2">
                  <a:lumMod val="10000"/>
                </a:schemeClr>
              </a:solidFill>
              <a:round/>
            </a:ln>
            <a:effectLst/>
          </c:spPr>
          <c:marker>
            <c:symbol val="circle"/>
            <c:size val="5"/>
            <c:spPr>
              <a:solidFill>
                <a:schemeClr val="tx1"/>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Sheet1!$A$42:$A$51</c:f>
              <c:strCache>
                <c:ptCount val="9"/>
                <c:pt idx="0">
                  <c:v>Jan</c:v>
                </c:pt>
                <c:pt idx="1">
                  <c:v>Feb</c:v>
                </c:pt>
                <c:pt idx="2">
                  <c:v>Mar</c:v>
                </c:pt>
                <c:pt idx="3">
                  <c:v>Apr</c:v>
                </c:pt>
                <c:pt idx="4">
                  <c:v>May</c:v>
                </c:pt>
                <c:pt idx="5">
                  <c:v>Jun</c:v>
                </c:pt>
                <c:pt idx="6">
                  <c:v>Jul</c:v>
                </c:pt>
                <c:pt idx="7">
                  <c:v>Aug</c:v>
                </c:pt>
                <c:pt idx="8">
                  <c:v>Sep</c:v>
                </c:pt>
              </c:strCache>
            </c:strRef>
          </c:cat>
          <c:val>
            <c:numRef>
              <c:f>Sheet1!$C$42:$C$51</c:f>
              <c:numCache>
                <c:formatCode>[&gt;=1000000]0.0,," M";[&gt;=1000]0,"K";0</c:formatCode>
                <c:ptCount val="9"/>
                <c:pt idx="0">
                  <c:v>19</c:v>
                </c:pt>
                <c:pt idx="1">
                  <c:v>8</c:v>
                </c:pt>
                <c:pt idx="2">
                  <c:v>21</c:v>
                </c:pt>
                <c:pt idx="3">
                  <c:v>19</c:v>
                </c:pt>
                <c:pt idx="4">
                  <c:v>12</c:v>
                </c:pt>
                <c:pt idx="5">
                  <c:v>14</c:v>
                </c:pt>
                <c:pt idx="6">
                  <c:v>14</c:v>
                </c:pt>
                <c:pt idx="7">
                  <c:v>8</c:v>
                </c:pt>
                <c:pt idx="8">
                  <c:v>9</c:v>
                </c:pt>
              </c:numCache>
            </c:numRef>
          </c:val>
          <c:smooth val="0"/>
          <c:extLst>
            <c:ext xmlns:c16="http://schemas.microsoft.com/office/drawing/2014/chart" uri="{C3380CC4-5D6E-409C-BE32-E72D297353CC}">
              <c16:uniqueId val="{00000001-7074-4BCF-A121-7BEC033EE706}"/>
            </c:ext>
          </c:extLst>
        </c:ser>
        <c:dLbls>
          <c:dLblPos val="t"/>
          <c:showLegendKey val="0"/>
          <c:showVal val="1"/>
          <c:showCatName val="0"/>
          <c:showSerName val="0"/>
          <c:showPercent val="0"/>
          <c:showBubbleSize val="0"/>
        </c:dLbls>
        <c:marker val="1"/>
        <c:smooth val="0"/>
        <c:axId val="936113760"/>
        <c:axId val="936110400"/>
      </c:lineChart>
      <c:catAx>
        <c:axId val="93611376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936110400"/>
        <c:crosses val="autoZero"/>
        <c:auto val="1"/>
        <c:lblAlgn val="ctr"/>
        <c:lblOffset val="100"/>
        <c:noMultiLvlLbl val="0"/>
      </c:catAx>
      <c:valAx>
        <c:axId val="936110400"/>
        <c:scaling>
          <c:orientation val="minMax"/>
        </c:scaling>
        <c:delete val="0"/>
        <c:axPos val="l"/>
        <c:numFmt formatCode="[&gt;=1000000]0.0,,&quot; 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936113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000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[SWYNEX-Interactive-Dashboard.xlsx]Sheet1!PivotTable8</c:name>
    <c:fmtId val="9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Category</a:t>
            </a:r>
            <a:r>
              <a:rPr lang="en-US" b="1" baseline="0">
                <a:solidFill>
                  <a:schemeClr val="bg1"/>
                </a:solidFill>
              </a:rPr>
              <a:t> wise Revenue %share</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accent6">
                <a:lumMod val="75000"/>
              </a:schemeClr>
            </a:solidFill>
          </a:ln>
          <a:effectLst/>
          <a:sp3d contourW="25400">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accent6">
                <a:lumMod val="75000"/>
              </a:schemeClr>
            </a:solidFill>
          </a:ln>
          <a:effectLst/>
          <a:sp3d contourW="25400">
            <a:contourClr>
              <a:schemeClr val="accent6">
                <a:lumMod val="75000"/>
              </a:schemeClr>
            </a:contourClr>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accent6">
                <a:lumMod val="75000"/>
              </a:schemeClr>
            </a:solidFill>
          </a:ln>
          <a:effectLst/>
          <a:sp3d contourW="25400">
            <a:contourClr>
              <a:schemeClr val="accent6">
                <a:lumMod val="75000"/>
              </a:schemeClr>
            </a:contourClr>
          </a:sp3d>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fld id="{1E28E6DB-BC8B-4C10-987D-BF1C682A5485}" type="CATEGORYNAME">
                  <a:rPr lang="en-US"/>
                  <a:pPr>
                    <a:defRPr sz="1000" b="1">
                      <a:solidFill>
                        <a:schemeClr val="bg1"/>
                      </a:solidFill>
                    </a:defRPr>
                  </a:pPr>
                  <a:t>[CATEGORY NAME]</a:t>
                </a:fld>
                <a:r>
                  <a:rPr lang="en-US" baseline="0"/>
                  <a:t>, </a:t>
                </a:r>
              </a:p>
              <a:p>
                <a:pPr>
                  <a:defRPr sz="1000" b="1">
                    <a:solidFill>
                      <a:schemeClr val="bg1"/>
                    </a:solidFill>
                  </a:defRPr>
                </a:pPr>
                <a:fld id="{758BB1F0-E6C8-42E3-B2D4-EA100D6F4F1C}" type="VALUE">
                  <a:rPr lang="en-US" baseline="0"/>
                  <a:pPr>
                    <a:defRPr sz="1000" b="1">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Sheet1!$B$53</c:f>
              <c:strCache>
                <c:ptCount val="1"/>
                <c:pt idx="0">
                  <c:v>Total</c:v>
                </c:pt>
              </c:strCache>
            </c:strRef>
          </c:tx>
          <c:spPr>
            <a:ln>
              <a:solidFill>
                <a:schemeClr val="accent6">
                  <a:lumMod val="75000"/>
                </a:schemeClr>
              </a:solidFill>
            </a:ln>
          </c:spPr>
          <c:dPt>
            <c:idx val="0"/>
            <c:bubble3D val="0"/>
            <c:spPr>
              <a:solidFill>
                <a:schemeClr val="accent1"/>
              </a:solidFill>
              <a:ln w="25400">
                <a:solidFill>
                  <a:schemeClr val="accent6">
                    <a:lumMod val="75000"/>
                  </a:schemeClr>
                </a:solidFill>
              </a:ln>
              <a:effectLst/>
              <a:sp3d contourW="25400">
                <a:contourClr>
                  <a:schemeClr val="accent6">
                    <a:lumMod val="75000"/>
                  </a:schemeClr>
                </a:contourClr>
              </a:sp3d>
            </c:spPr>
            <c:extLst>
              <c:ext xmlns:c16="http://schemas.microsoft.com/office/drawing/2014/chart" uri="{C3380CC4-5D6E-409C-BE32-E72D297353CC}">
                <c16:uniqueId val="{00000002-4B1F-4907-95B3-1F61AD7662B5}"/>
              </c:ext>
            </c:extLst>
          </c:dPt>
          <c:dPt>
            <c:idx val="1"/>
            <c:bubble3D val="0"/>
            <c:spPr>
              <a:solidFill>
                <a:schemeClr val="accent2"/>
              </a:solidFill>
              <a:ln w="25400">
                <a:solidFill>
                  <a:schemeClr val="accent6">
                    <a:lumMod val="75000"/>
                  </a:schemeClr>
                </a:solidFill>
              </a:ln>
              <a:effectLst/>
              <a:sp3d contourW="25400">
                <a:contourClr>
                  <a:schemeClr val="accent6">
                    <a:lumMod val="75000"/>
                  </a:schemeClr>
                </a:contourClr>
              </a:sp3d>
            </c:spPr>
            <c:extLst>
              <c:ext xmlns:c16="http://schemas.microsoft.com/office/drawing/2014/chart" uri="{C3380CC4-5D6E-409C-BE32-E72D297353CC}">
                <c16:uniqueId val="{00000003-4B1F-4907-95B3-1F61AD7662B5}"/>
              </c:ext>
            </c:extLst>
          </c:dPt>
          <c:dLbls>
            <c:dLbl>
              <c:idx val="0"/>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B1F-4907-95B3-1F61AD7662B5}"/>
                </c:ext>
              </c:extLst>
            </c:dLbl>
            <c:dLbl>
              <c:idx val="1"/>
              <c:tx>
                <c:rich>
                  <a:bodyPr/>
                  <a:lstStyle/>
                  <a:p>
                    <a:fld id="{1E28E6DB-BC8B-4C10-987D-BF1C682A5485}" type="CATEGORYNAME">
                      <a:rPr lang="en-US"/>
                      <a:pPr/>
                      <a:t>[CATEGORY NAME]</a:t>
                    </a:fld>
                    <a:r>
                      <a:rPr lang="en-US" baseline="0"/>
                      <a:t>, </a:t>
                    </a:r>
                  </a:p>
                  <a:p>
                    <a:fld id="{758BB1F0-E6C8-42E3-B2D4-EA100D6F4F1C}" type="VALUE">
                      <a:rPr lang="en-US" baseline="0"/>
                      <a:pPr/>
                      <a:t>[VALUE]</a:t>
                    </a:fld>
                    <a:endParaRPr lang="en-US"/>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4B1F-4907-95B3-1F61AD7662B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Sheet1!$A$54:$A$56</c:f>
              <c:strCache>
                <c:ptCount val="2"/>
                <c:pt idx="0">
                  <c:v>Electronics</c:v>
                </c:pt>
                <c:pt idx="1">
                  <c:v>Furniture</c:v>
                </c:pt>
              </c:strCache>
            </c:strRef>
          </c:cat>
          <c:val>
            <c:numRef>
              <c:f>Sheet1!$B$54:$B$56</c:f>
              <c:numCache>
                <c:formatCode>0.00%</c:formatCode>
                <c:ptCount val="2"/>
                <c:pt idx="0">
                  <c:v>0.75397539753975396</c:v>
                </c:pt>
                <c:pt idx="1">
                  <c:v>0.24602460246024602</c:v>
                </c:pt>
              </c:numCache>
            </c:numRef>
          </c:val>
          <c:extLst>
            <c:ext xmlns:c16="http://schemas.microsoft.com/office/drawing/2014/chart" uri="{C3380CC4-5D6E-409C-BE32-E72D297353CC}">
              <c16:uniqueId val="{00000000-4B1F-4907-95B3-1F61AD7662B5}"/>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000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[SWYNEX-Interactive-Dashboard.xlsx]Sheet1!PivotTable9</c:name>
    <c:fmtId val="10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Revenue</a:t>
            </a:r>
            <a:r>
              <a:rPr lang="en-US" b="1" baseline="0">
                <a:solidFill>
                  <a:schemeClr val="bg1"/>
                </a:solidFill>
              </a:rPr>
              <a:t> by Payment Mode</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Sheet1!$B$59</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Sheet1!$A$60:$A$64</c:f>
              <c:strCache>
                <c:ptCount val="4"/>
                <c:pt idx="0">
                  <c:v>Cash</c:v>
                </c:pt>
                <c:pt idx="1">
                  <c:v>Credit Card</c:v>
                </c:pt>
                <c:pt idx="2">
                  <c:v>Debit Card</c:v>
                </c:pt>
                <c:pt idx="3">
                  <c:v>UPI</c:v>
                </c:pt>
              </c:strCache>
            </c:strRef>
          </c:cat>
          <c:val>
            <c:numRef>
              <c:f>Sheet1!$B$60:$B$64</c:f>
              <c:numCache>
                <c:formatCode>[&gt;=1000000]0.0,," M";[&gt;=1000]0,"K";0</c:formatCode>
                <c:ptCount val="4"/>
                <c:pt idx="0">
                  <c:v>501500</c:v>
                </c:pt>
                <c:pt idx="1">
                  <c:v>225000</c:v>
                </c:pt>
                <c:pt idx="2">
                  <c:v>269500</c:v>
                </c:pt>
                <c:pt idx="3">
                  <c:v>670500</c:v>
                </c:pt>
              </c:numCache>
            </c:numRef>
          </c:val>
          <c:extLst>
            <c:ext xmlns:c16="http://schemas.microsoft.com/office/drawing/2014/chart" uri="{C3380CC4-5D6E-409C-BE32-E72D297353CC}">
              <c16:uniqueId val="{00000000-5261-4107-B675-2C699BC98A35}"/>
            </c:ext>
          </c:extLst>
        </c:ser>
        <c:dLbls>
          <c:showLegendKey val="0"/>
          <c:showVal val="1"/>
          <c:showCatName val="0"/>
          <c:showSerName val="0"/>
          <c:showPercent val="0"/>
          <c:showBubbleSize val="0"/>
        </c:dLbls>
        <c:gapWidth val="150"/>
        <c:shape val="box"/>
        <c:axId val="1894377856"/>
        <c:axId val="1894381216"/>
        <c:axId val="0"/>
      </c:bar3DChart>
      <c:catAx>
        <c:axId val="18943778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894381216"/>
        <c:crosses val="autoZero"/>
        <c:auto val="1"/>
        <c:lblAlgn val="ctr"/>
        <c:lblOffset val="100"/>
        <c:noMultiLvlLbl val="0"/>
      </c:catAx>
      <c:valAx>
        <c:axId val="1894381216"/>
        <c:scaling>
          <c:orientation val="minMax"/>
        </c:scaling>
        <c:delete val="0"/>
        <c:axPos val="l"/>
        <c:numFmt formatCode="[&gt;=1000000]0.0,,&quot; 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8943778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000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[SWYNEX-Interactive-Dashboard.xlsx]Sheet1!PivotTable11</c:name>
    <c:fmtId val="10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Sales</a:t>
            </a:r>
            <a:r>
              <a:rPr lang="en-US" b="1" baseline="0">
                <a:solidFill>
                  <a:schemeClr val="bg1"/>
                </a:solidFill>
              </a:rPr>
              <a:t> Rep wise Order Count</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Sheet1!$B$73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Sheet1!$A$74:$A$78</c:f>
              <c:strCache>
                <c:ptCount val="4"/>
                <c:pt idx="0">
                  <c:v>Lakshmi</c:v>
                </c:pt>
                <c:pt idx="1">
                  <c:v>Neha</c:v>
                </c:pt>
                <c:pt idx="2">
                  <c:v>Ramesh</c:v>
                </c:pt>
                <c:pt idx="3">
                  <c:v>Vikram</c:v>
                </c:pt>
              </c:strCache>
            </c:strRef>
          </c:cat>
          <c:val>
            <c:numRef>
              <c:f>Sheet1!$B$74:$B$78</c:f>
              <c:numCache>
                <c:formatCode>[&gt;=1000000]0.0,," M";[&gt;=1000]0,"K";0</c:formatCode>
                <c:ptCount val="4"/>
                <c:pt idx="0">
                  <c:v>10</c:v>
                </c:pt>
                <c:pt idx="1">
                  <c:v>8</c:v>
                </c:pt>
                <c:pt idx="2">
                  <c:v>10</c:v>
                </c:pt>
                <c:pt idx="3">
                  <c:v>16</c:v>
                </c:pt>
              </c:numCache>
            </c:numRef>
          </c:val>
          <c:extLst>
            <c:ext xmlns:c16="http://schemas.microsoft.com/office/drawing/2014/chart" uri="{C3380CC4-5D6E-409C-BE32-E72D297353CC}">
              <c16:uniqueId val="{00000000-A3AA-4599-BBF3-A03B8A5308D0}"/>
            </c:ext>
          </c:extLst>
        </c:ser>
        <c:dLbls>
          <c:dLblPos val="outEnd"/>
          <c:showLegendKey val="0"/>
          <c:showVal val="1"/>
          <c:showCatName val="0"/>
          <c:showSerName val="0"/>
          <c:showPercent val="0"/>
          <c:showBubbleSize val="0"/>
        </c:dLbls>
        <c:gapWidth val="219"/>
        <c:overlap val="-27"/>
        <c:axId val="1884856240"/>
        <c:axId val="1884850960"/>
      </c:barChart>
      <c:catAx>
        <c:axId val="1884856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884850960"/>
        <c:crosses val="autoZero"/>
        <c:auto val="1"/>
        <c:lblAlgn val="ctr"/>
        <c:lblOffset val="100"/>
        <c:noMultiLvlLbl val="0"/>
      </c:catAx>
      <c:valAx>
        <c:axId val="1884850960"/>
        <c:scaling>
          <c:orientation val="minMax"/>
        </c:scaling>
        <c:delete val="0"/>
        <c:axPos val="l"/>
        <c:numFmt formatCode="[&gt;=1000000]0.0,,&quot; 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8848562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000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184151</xdr:colOff>
      <xdr:row>0</xdr:row>
      <xdr:rowOff>50800</xdr:rowOff>
    </xdr:from>
    <xdr:to>
      <xdr:col>21</xdr:col>
      <xdr:colOff>117928</xdr:colOff>
      <xdr:row>38</xdr:row>
      <xdr:rowOff>72571</xdr:rowOff>
    </xdr:to>
    <xdr:sp macro="" textlink="">
      <xdr:nvSpPr>
        <xdr:cNvPr id="32" name="Rectangle 31">
          <a:extLst>
            <a:ext uri="{FF2B5EF4-FFF2-40B4-BE49-F238E27FC236}">
              <a16:creationId xmlns:a16="http://schemas.microsoft.com/office/drawing/2014/main" id="{8B8AD807-CE4B-C25A-7A5A-B7C5D37E61F8}"/>
            </a:ext>
          </a:extLst>
        </xdr:cNvPr>
        <xdr:cNvSpPr/>
      </xdr:nvSpPr>
      <xdr:spPr>
        <a:xfrm>
          <a:off x="2551794" y="50800"/>
          <a:ext cx="10873920" cy="693420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314037</xdr:colOff>
      <xdr:row>0</xdr:row>
      <xdr:rowOff>98139</xdr:rowOff>
    </xdr:from>
    <xdr:to>
      <xdr:col>20</xdr:col>
      <xdr:colOff>554300</xdr:colOff>
      <xdr:row>2</xdr:row>
      <xdr:rowOff>44451</xdr:rowOff>
    </xdr:to>
    <xdr:sp macro="" textlink="">
      <xdr:nvSpPr>
        <xdr:cNvPr id="2" name="Rectangle 1">
          <a:extLst>
            <a:ext uri="{FF2B5EF4-FFF2-40B4-BE49-F238E27FC236}">
              <a16:creationId xmlns:a16="http://schemas.microsoft.com/office/drawing/2014/main" id="{E990CCD3-49C9-62BB-6B9D-38EAD50F1D0E}"/>
            </a:ext>
          </a:extLst>
        </xdr:cNvPr>
        <xdr:cNvSpPr/>
      </xdr:nvSpPr>
      <xdr:spPr>
        <a:xfrm>
          <a:off x="2669887" y="98139"/>
          <a:ext cx="10603463" cy="314612"/>
        </a:xfrm>
        <a:prstGeom prst="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bg1"/>
              </a:solidFill>
            </a:rPr>
            <a:t>MONTHLY</a:t>
          </a:r>
          <a:r>
            <a:rPr lang="en-US" sz="2400" b="1" baseline="0">
              <a:solidFill>
                <a:schemeClr val="bg1"/>
              </a:solidFill>
            </a:rPr>
            <a:t> SALES &amp; REVENUE DASHBOARD</a:t>
          </a:r>
          <a:endParaRPr lang="en-US" sz="2400" b="1">
            <a:solidFill>
              <a:schemeClr val="bg1"/>
            </a:solidFill>
          </a:endParaRPr>
        </a:p>
      </xdr:txBody>
    </xdr:sp>
    <xdr:clientData/>
  </xdr:twoCellAnchor>
  <xdr:twoCellAnchor>
    <xdr:from>
      <xdr:col>3</xdr:col>
      <xdr:colOff>296863</xdr:colOff>
      <xdr:row>2</xdr:row>
      <xdr:rowOff>65087</xdr:rowOff>
    </xdr:from>
    <xdr:to>
      <xdr:col>7</xdr:col>
      <xdr:colOff>163513</xdr:colOff>
      <xdr:row>5</xdr:row>
      <xdr:rowOff>71437</xdr:rowOff>
    </xdr:to>
    <xdr:sp macro="" textlink="$A$4">
      <xdr:nvSpPr>
        <xdr:cNvPr id="3" name="Rectangle 2">
          <a:extLst>
            <a:ext uri="{FF2B5EF4-FFF2-40B4-BE49-F238E27FC236}">
              <a16:creationId xmlns:a16="http://schemas.microsoft.com/office/drawing/2014/main" id="{6A83898F-875A-5EC4-75B7-9821C75ADF52}"/>
            </a:ext>
          </a:extLst>
        </xdr:cNvPr>
        <xdr:cNvSpPr/>
      </xdr:nvSpPr>
      <xdr:spPr>
        <a:xfrm>
          <a:off x="2646363" y="430212"/>
          <a:ext cx="2311400" cy="554038"/>
        </a:xfrm>
        <a:prstGeom prst="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chemeClr val="bg1"/>
              </a:solidFill>
              <a:latin typeface="Calibri"/>
              <a:cs typeface="Calibri"/>
            </a:rPr>
            <a:t>Revenue</a:t>
          </a:r>
          <a:r>
            <a:rPr lang="en-US" sz="1400" b="1" i="0" u="none" strike="noStrike" baseline="0">
              <a:solidFill>
                <a:schemeClr val="bg1"/>
              </a:solidFill>
              <a:latin typeface="Calibri"/>
              <a:cs typeface="Calibri"/>
            </a:rPr>
            <a:t> </a:t>
          </a:r>
        </a:p>
        <a:p>
          <a:pPr algn="ctr"/>
          <a:r>
            <a:rPr lang="en-US" sz="1400" b="1" i="0" u="none" strike="noStrike" baseline="0">
              <a:solidFill>
                <a:schemeClr val="bg1"/>
              </a:solidFill>
              <a:latin typeface="Calibri"/>
              <a:cs typeface="Calibri"/>
            </a:rPr>
            <a:t>₹</a:t>
          </a:r>
          <a:fld id="{7C224519-8751-4DA8-941F-217AAE14FDD9}" type="TxLink">
            <a:rPr lang="en-US" sz="1400" b="1" i="0" u="none" strike="noStrike">
              <a:solidFill>
                <a:schemeClr val="bg1"/>
              </a:solidFill>
              <a:latin typeface="Calibri"/>
              <a:cs typeface="Calibri"/>
            </a:rPr>
            <a:pPr algn="ctr"/>
            <a:t> 1,666,500 </a:t>
          </a:fld>
          <a:endParaRPr lang="en-US" sz="1800" b="1">
            <a:solidFill>
              <a:schemeClr val="bg1"/>
            </a:solidFill>
          </a:endParaRPr>
        </a:p>
      </xdr:txBody>
    </xdr:sp>
    <xdr:clientData/>
  </xdr:twoCellAnchor>
  <xdr:twoCellAnchor>
    <xdr:from>
      <xdr:col>7</xdr:col>
      <xdr:colOff>209550</xdr:colOff>
      <xdr:row>2</xdr:row>
      <xdr:rowOff>61914</xdr:rowOff>
    </xdr:from>
    <xdr:to>
      <xdr:col>10</xdr:col>
      <xdr:colOff>127000</xdr:colOff>
      <xdr:row>5</xdr:row>
      <xdr:rowOff>71438</xdr:rowOff>
    </xdr:to>
    <xdr:sp macro="" textlink="$A$13">
      <xdr:nvSpPr>
        <xdr:cNvPr id="4" name="Rectangle 3">
          <a:extLst>
            <a:ext uri="{FF2B5EF4-FFF2-40B4-BE49-F238E27FC236}">
              <a16:creationId xmlns:a16="http://schemas.microsoft.com/office/drawing/2014/main" id="{C496EBAF-6C7A-D0B4-C9E1-89B3D6820334}"/>
            </a:ext>
          </a:extLst>
        </xdr:cNvPr>
        <xdr:cNvSpPr/>
      </xdr:nvSpPr>
      <xdr:spPr>
        <a:xfrm>
          <a:off x="5003800" y="427039"/>
          <a:ext cx="1751013" cy="557212"/>
        </a:xfrm>
        <a:prstGeom prst="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chemeClr val="bg1"/>
              </a:solidFill>
              <a:latin typeface="Calibri"/>
              <a:cs typeface="Calibri"/>
            </a:rPr>
            <a:t>Orders</a:t>
          </a:r>
        </a:p>
        <a:p>
          <a:pPr algn="ctr"/>
          <a:fld id="{88B59015-E5FF-40D2-B0E6-9D4FB99186DF}" type="TxLink">
            <a:rPr lang="en-US" sz="1400" b="1" i="0" u="none" strike="noStrike">
              <a:solidFill>
                <a:schemeClr val="bg1"/>
              </a:solidFill>
              <a:latin typeface="Calibri"/>
              <a:cs typeface="Calibri"/>
            </a:rPr>
            <a:pPr algn="ctr"/>
            <a:t>44</a:t>
          </a:fld>
          <a:endParaRPr lang="en-US" sz="2400" b="1">
            <a:solidFill>
              <a:schemeClr val="bg1"/>
            </a:solidFill>
          </a:endParaRPr>
        </a:p>
      </xdr:txBody>
    </xdr:sp>
    <xdr:clientData/>
  </xdr:twoCellAnchor>
  <xdr:twoCellAnchor>
    <xdr:from>
      <xdr:col>10</xdr:col>
      <xdr:colOff>158750</xdr:colOff>
      <xdr:row>2</xdr:row>
      <xdr:rowOff>63500</xdr:rowOff>
    </xdr:from>
    <xdr:to>
      <xdr:col>13</xdr:col>
      <xdr:colOff>368300</xdr:colOff>
      <xdr:row>5</xdr:row>
      <xdr:rowOff>71437</xdr:rowOff>
    </xdr:to>
    <xdr:sp macro="" textlink="$A$17">
      <xdr:nvSpPr>
        <xdr:cNvPr id="5" name="Rectangle 4">
          <a:extLst>
            <a:ext uri="{FF2B5EF4-FFF2-40B4-BE49-F238E27FC236}">
              <a16:creationId xmlns:a16="http://schemas.microsoft.com/office/drawing/2014/main" id="{91FFA3E7-4585-3797-AE86-00D658BD414B}"/>
            </a:ext>
          </a:extLst>
        </xdr:cNvPr>
        <xdr:cNvSpPr/>
      </xdr:nvSpPr>
      <xdr:spPr>
        <a:xfrm>
          <a:off x="6786563" y="428625"/>
          <a:ext cx="2043112" cy="555625"/>
        </a:xfrm>
        <a:prstGeom prst="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chemeClr val="bg1"/>
              </a:solidFill>
              <a:latin typeface="Calibri"/>
              <a:cs typeface="Calibri"/>
            </a:rPr>
            <a:t>Units Sold</a:t>
          </a:r>
        </a:p>
        <a:p>
          <a:pPr algn="ctr"/>
          <a:fld id="{A17F6974-F0CE-41F2-932B-B96881EB9BA1}" type="TxLink">
            <a:rPr lang="en-US" sz="1400" b="1" i="0" u="none" strike="noStrike">
              <a:solidFill>
                <a:schemeClr val="bg1"/>
              </a:solidFill>
              <a:latin typeface="Calibri"/>
              <a:cs typeface="Calibri"/>
            </a:rPr>
            <a:pPr algn="ctr"/>
            <a:t>124</a:t>
          </a:fld>
          <a:endParaRPr lang="en-US" sz="1400" b="1">
            <a:solidFill>
              <a:schemeClr val="bg1"/>
            </a:solidFill>
          </a:endParaRPr>
        </a:p>
      </xdr:txBody>
    </xdr:sp>
    <xdr:clientData/>
  </xdr:twoCellAnchor>
  <xdr:twoCellAnchor>
    <xdr:from>
      <xdr:col>13</xdr:col>
      <xdr:colOff>388938</xdr:colOff>
      <xdr:row>2</xdr:row>
      <xdr:rowOff>63501</xdr:rowOff>
    </xdr:from>
    <xdr:to>
      <xdr:col>17</xdr:col>
      <xdr:colOff>52388</xdr:colOff>
      <xdr:row>5</xdr:row>
      <xdr:rowOff>63500</xdr:rowOff>
    </xdr:to>
    <xdr:sp macro="" textlink="$A$20">
      <xdr:nvSpPr>
        <xdr:cNvPr id="6" name="Rectangle 5">
          <a:extLst>
            <a:ext uri="{FF2B5EF4-FFF2-40B4-BE49-F238E27FC236}">
              <a16:creationId xmlns:a16="http://schemas.microsoft.com/office/drawing/2014/main" id="{C8639887-84DD-DA3F-3563-80F994470041}"/>
            </a:ext>
          </a:extLst>
        </xdr:cNvPr>
        <xdr:cNvSpPr/>
      </xdr:nvSpPr>
      <xdr:spPr>
        <a:xfrm>
          <a:off x="8850313" y="428626"/>
          <a:ext cx="2108200" cy="547687"/>
        </a:xfrm>
        <a:prstGeom prst="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chemeClr val="bg1"/>
              </a:solidFill>
              <a:latin typeface="Calibri"/>
              <a:cs typeface="Calibri"/>
            </a:rPr>
            <a:t>Avg</a:t>
          </a:r>
          <a:r>
            <a:rPr lang="en-US" sz="1400" b="1" i="0" u="none" strike="noStrike" baseline="0">
              <a:solidFill>
                <a:schemeClr val="bg1"/>
              </a:solidFill>
              <a:latin typeface="Calibri"/>
              <a:cs typeface="Calibri"/>
            </a:rPr>
            <a:t> Order Value</a:t>
          </a:r>
        </a:p>
        <a:p>
          <a:pPr algn="ctr"/>
          <a:fld id="{58A1E7DC-825F-462E-AB09-D0CFC9356271}" type="TxLink">
            <a:rPr lang="en-US" sz="1400" b="1" i="0" u="none" strike="noStrike">
              <a:solidFill>
                <a:schemeClr val="bg1"/>
              </a:solidFill>
              <a:latin typeface="Calibri"/>
              <a:cs typeface="Calibri"/>
            </a:rPr>
            <a:pPr algn="ctr"/>
            <a:t>37875</a:t>
          </a:fld>
          <a:endParaRPr lang="en-US" sz="2400" b="1">
            <a:solidFill>
              <a:schemeClr val="bg1"/>
            </a:solidFill>
          </a:endParaRPr>
        </a:p>
      </xdr:txBody>
    </xdr:sp>
    <xdr:clientData/>
  </xdr:twoCellAnchor>
  <xdr:twoCellAnchor>
    <xdr:from>
      <xdr:col>3</xdr:col>
      <xdr:colOff>293689</xdr:colOff>
      <xdr:row>5</xdr:row>
      <xdr:rowOff>92076</xdr:rowOff>
    </xdr:from>
    <xdr:to>
      <xdr:col>10</xdr:col>
      <xdr:colOff>512765</xdr:colOff>
      <xdr:row>14</xdr:row>
      <xdr:rowOff>154214</xdr:rowOff>
    </xdr:to>
    <xdr:graphicFrame macro="">
      <xdr:nvGraphicFramePr>
        <xdr:cNvPr id="7" name="Chart 6">
          <a:extLst>
            <a:ext uri="{FF2B5EF4-FFF2-40B4-BE49-F238E27FC236}">
              <a16:creationId xmlns:a16="http://schemas.microsoft.com/office/drawing/2014/main" id="{585DC5D1-9008-FA94-6F06-169E61C894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559253</xdr:colOff>
      <xdr:row>5</xdr:row>
      <xdr:rowOff>92529</xdr:rowOff>
    </xdr:from>
    <xdr:to>
      <xdr:col>17</xdr:col>
      <xdr:colOff>73478</xdr:colOff>
      <xdr:row>14</xdr:row>
      <xdr:rowOff>145143</xdr:rowOff>
    </xdr:to>
    <xdr:graphicFrame macro="">
      <xdr:nvGraphicFramePr>
        <xdr:cNvPr id="9" name="Chart 8">
          <a:extLst>
            <a:ext uri="{FF2B5EF4-FFF2-40B4-BE49-F238E27FC236}">
              <a16:creationId xmlns:a16="http://schemas.microsoft.com/office/drawing/2014/main" id="{A27C24F3-4A2B-721D-CF34-525FD861B7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278945</xdr:colOff>
      <xdr:row>14</xdr:row>
      <xdr:rowOff>168729</xdr:rowOff>
    </xdr:from>
    <xdr:to>
      <xdr:col>11</xdr:col>
      <xdr:colOff>308428</xdr:colOff>
      <xdr:row>27</xdr:row>
      <xdr:rowOff>18143</xdr:rowOff>
    </xdr:to>
    <xdr:graphicFrame macro="">
      <xdr:nvGraphicFramePr>
        <xdr:cNvPr id="15" name="Chart 14">
          <a:extLst>
            <a:ext uri="{FF2B5EF4-FFF2-40B4-BE49-F238E27FC236}">
              <a16:creationId xmlns:a16="http://schemas.microsoft.com/office/drawing/2014/main" id="{28F85DE1-FD65-55B2-B940-A17B20CFA3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367392</xdr:colOff>
      <xdr:row>14</xdr:row>
      <xdr:rowOff>181427</xdr:rowOff>
    </xdr:from>
    <xdr:to>
      <xdr:col>17</xdr:col>
      <xdr:colOff>72571</xdr:colOff>
      <xdr:row>26</xdr:row>
      <xdr:rowOff>172357</xdr:rowOff>
    </xdr:to>
    <xdr:graphicFrame macro="">
      <xdr:nvGraphicFramePr>
        <xdr:cNvPr id="8" name="Chart 7">
          <a:extLst>
            <a:ext uri="{FF2B5EF4-FFF2-40B4-BE49-F238E27FC236}">
              <a16:creationId xmlns:a16="http://schemas.microsoft.com/office/drawing/2014/main" id="{E4F38876-A84F-FE8F-A864-6345F7B5F6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363766</xdr:colOff>
      <xdr:row>27</xdr:row>
      <xdr:rowOff>27214</xdr:rowOff>
    </xdr:from>
    <xdr:to>
      <xdr:col>21</xdr:col>
      <xdr:colOff>63500</xdr:colOff>
      <xdr:row>37</xdr:row>
      <xdr:rowOff>63500</xdr:rowOff>
    </xdr:to>
    <xdr:graphicFrame macro="">
      <xdr:nvGraphicFramePr>
        <xdr:cNvPr id="10" name="Chart 9">
          <a:extLst>
            <a:ext uri="{FF2B5EF4-FFF2-40B4-BE49-F238E27FC236}">
              <a16:creationId xmlns:a16="http://schemas.microsoft.com/office/drawing/2014/main" id="{A56CCC44-C246-75BB-05F0-EB8B4F2803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291193</xdr:colOff>
      <xdr:row>27</xdr:row>
      <xdr:rowOff>68944</xdr:rowOff>
    </xdr:from>
    <xdr:to>
      <xdr:col>11</xdr:col>
      <xdr:colOff>326571</xdr:colOff>
      <xdr:row>37</xdr:row>
      <xdr:rowOff>45358</xdr:rowOff>
    </xdr:to>
    <xdr:graphicFrame macro="">
      <xdr:nvGraphicFramePr>
        <xdr:cNvPr id="11" name="Chart 10">
          <a:extLst>
            <a:ext uri="{FF2B5EF4-FFF2-40B4-BE49-F238E27FC236}">
              <a16:creationId xmlns:a16="http://schemas.microsoft.com/office/drawing/2014/main" id="{48D5009D-378A-BC4C-89B7-86B059EBDE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132442</xdr:colOff>
      <xdr:row>2</xdr:row>
      <xdr:rowOff>117929</xdr:rowOff>
    </xdr:from>
    <xdr:to>
      <xdr:col>20</xdr:col>
      <xdr:colOff>589642</xdr:colOff>
      <xdr:row>11</xdr:row>
      <xdr:rowOff>36285</xdr:rowOff>
    </xdr:to>
    <mc:AlternateContent xmlns:mc="http://schemas.openxmlformats.org/markup-compatibility/2006" xmlns:a14="http://schemas.microsoft.com/office/drawing/2010/main">
      <mc:Choice Requires="a14">
        <xdr:graphicFrame macro="">
          <xdr:nvGraphicFramePr>
            <xdr:cNvPr id="28" name="Product">
              <a:extLst>
                <a:ext uri="{FF2B5EF4-FFF2-40B4-BE49-F238E27FC236}">
                  <a16:creationId xmlns:a16="http://schemas.microsoft.com/office/drawing/2014/main" id="{0FEB7398-14F5-7766-070D-2072AA8C73E5}"/>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1009085" y="480786"/>
              <a:ext cx="2280557" cy="15512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138793</xdr:colOff>
      <xdr:row>11</xdr:row>
      <xdr:rowOff>117930</xdr:rowOff>
    </xdr:from>
    <xdr:to>
      <xdr:col>20</xdr:col>
      <xdr:colOff>602343</xdr:colOff>
      <xdr:row>20</xdr:row>
      <xdr:rowOff>27216</xdr:rowOff>
    </xdr:to>
    <mc:AlternateContent xmlns:mc="http://schemas.openxmlformats.org/markup-compatibility/2006" xmlns:a14="http://schemas.microsoft.com/office/drawing/2010/main">
      <mc:Choice Requires="a14">
        <xdr:graphicFrame macro="">
          <xdr:nvGraphicFramePr>
            <xdr:cNvPr id="30" name="City">
              <a:extLst>
                <a:ext uri="{FF2B5EF4-FFF2-40B4-BE49-F238E27FC236}">
                  <a16:creationId xmlns:a16="http://schemas.microsoft.com/office/drawing/2014/main" id="{A69A23F8-CC30-88CB-B1C9-788E75641C6E}"/>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1015436" y="2113644"/>
              <a:ext cx="2286907" cy="15602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147864</xdr:colOff>
      <xdr:row>20</xdr:row>
      <xdr:rowOff>136980</xdr:rowOff>
    </xdr:from>
    <xdr:to>
      <xdr:col>21</xdr:col>
      <xdr:colOff>9978</xdr:colOff>
      <xdr:row>26</xdr:row>
      <xdr:rowOff>145143</xdr:rowOff>
    </xdr:to>
    <mc:AlternateContent xmlns:mc="http://schemas.openxmlformats.org/markup-compatibility/2006" xmlns:a14="http://schemas.microsoft.com/office/drawing/2010/main">
      <mc:Choice Requires="a14">
        <xdr:graphicFrame macro="">
          <xdr:nvGraphicFramePr>
            <xdr:cNvPr id="31" name="Category">
              <a:extLst>
                <a:ext uri="{FF2B5EF4-FFF2-40B4-BE49-F238E27FC236}">
                  <a16:creationId xmlns:a16="http://schemas.microsoft.com/office/drawing/2014/main" id="{AA8C0648-F434-CE60-B7F6-02C9EEE2D72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024507" y="3783694"/>
              <a:ext cx="2293257" cy="10967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154213</xdr:colOff>
      <xdr:row>0</xdr:row>
      <xdr:rowOff>27214</xdr:rowOff>
    </xdr:from>
    <xdr:to>
      <xdr:col>30</xdr:col>
      <xdr:colOff>399143</xdr:colOff>
      <xdr:row>21</xdr:row>
      <xdr:rowOff>90714</xdr:rowOff>
    </xdr:to>
    <xdr:sp macro="" textlink="">
      <xdr:nvSpPr>
        <xdr:cNvPr id="13" name="Rectangle 12">
          <a:extLst>
            <a:ext uri="{FF2B5EF4-FFF2-40B4-BE49-F238E27FC236}">
              <a16:creationId xmlns:a16="http://schemas.microsoft.com/office/drawing/2014/main" id="{62648AAE-AF0B-8E2E-CDE4-5192DC547A7D}"/>
            </a:ext>
          </a:extLst>
        </xdr:cNvPr>
        <xdr:cNvSpPr/>
      </xdr:nvSpPr>
      <xdr:spPr>
        <a:xfrm>
          <a:off x="13461999" y="27214"/>
          <a:ext cx="5715001" cy="3891643"/>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bg1"/>
              </a:solidFill>
            </a:rPr>
            <a:t>INSIGHTS</a:t>
          </a:r>
          <a:r>
            <a:rPr lang="en-US" sz="1800" b="1">
              <a:solidFill>
                <a:schemeClr val="bg1"/>
              </a:solidFill>
            </a:rPr>
            <a:t>:</a:t>
          </a:r>
        </a:p>
        <a:p>
          <a:pPr algn="l"/>
          <a:r>
            <a:rPr lang="en-US" sz="1600" b="1" i="0" u="none" strike="noStrike">
              <a:solidFill>
                <a:schemeClr val="lt1"/>
              </a:solidFill>
              <a:effectLst/>
              <a:latin typeface="+mn-lt"/>
              <a:ea typeface="+mn-ea"/>
              <a:cs typeface="+mn-cs"/>
            </a:rPr>
            <a:t>1. The dataset contains 44 orders and 124 units sold, generating total revenue of ₹</a:t>
          </a:r>
          <a:r>
            <a:rPr lang="en-US" sz="1600" b="1" i="0" u="none" strike="noStrike" baseline="0">
              <a:solidFill>
                <a:schemeClr val="lt1"/>
              </a:solidFill>
              <a:effectLst/>
              <a:latin typeface="+mn-lt"/>
              <a:ea typeface="+mn-ea"/>
              <a:cs typeface="+mn-cs"/>
            </a:rPr>
            <a:t> </a:t>
          </a:r>
          <a:r>
            <a:rPr lang="en-US" sz="1600" b="1" i="0" u="none" strike="noStrike">
              <a:solidFill>
                <a:schemeClr val="lt1"/>
              </a:solidFill>
              <a:effectLst/>
              <a:latin typeface="+mn-lt"/>
              <a:ea typeface="+mn-ea"/>
              <a:cs typeface="+mn-cs"/>
            </a:rPr>
            <a:t>1,666,500</a:t>
          </a:r>
          <a:r>
            <a:rPr lang="en-US" sz="1200" b="0" i="0" u="none" strike="noStrike">
              <a:solidFill>
                <a:schemeClr val="lt1"/>
              </a:solidFill>
              <a:effectLst/>
              <a:latin typeface="+mn-lt"/>
              <a:ea typeface="+mn-ea"/>
              <a:cs typeface="+mn-cs"/>
            </a:rPr>
            <a:t>.</a:t>
          </a:r>
          <a:r>
            <a:rPr lang="en-US" sz="1600"/>
            <a:t> </a:t>
          </a:r>
        </a:p>
        <a:p>
          <a:pPr algn="l"/>
          <a:r>
            <a:rPr lang="en-US" sz="1600" b="1" i="0" u="none" strike="noStrike">
              <a:solidFill>
                <a:schemeClr val="lt1"/>
              </a:solidFill>
              <a:effectLst/>
              <a:latin typeface="+mn-lt"/>
              <a:ea typeface="+mn-ea"/>
              <a:cs typeface="+mn-cs"/>
            </a:rPr>
            <a:t>2. </a:t>
          </a:r>
          <a:r>
            <a:rPr lang="en-US" sz="1600" b="1"/>
            <a:t>Electronics drives the revenue. It gives 75.4% (₹12.57L) of total revenue, and Furniture gives 24.6%.</a:t>
          </a:r>
        </a:p>
        <a:p>
          <a:pPr algn="l"/>
          <a:r>
            <a:rPr lang="en-US" sz="1600" b="1"/>
            <a:t>3. Laptop is the top product. It earns ₹7.8L, about 47% of all revenue, while Headphones earns only ₹84K.</a:t>
          </a:r>
        </a:p>
        <a:p>
          <a:pPr algn="l"/>
          <a:r>
            <a:rPr lang="en-US" sz="1600" b="1"/>
            <a:t>4.</a:t>
          </a:r>
          <a:r>
            <a:rPr lang="en-US" sz="1600" b="1" baseline="0"/>
            <a:t> </a:t>
          </a:r>
          <a:r>
            <a:rPr lang="en-US" sz="1600" b="1"/>
            <a:t>Hyderabad and Bangalore lead the cities. Together they bring ₹12.0L, about 72% of revenue. Chennai is the weakest main city at ₹1.58L.</a:t>
          </a:r>
        </a:p>
        <a:p>
          <a:pPr algn="l"/>
          <a:r>
            <a:rPr lang="en-US" sz="1600" b="1"/>
            <a:t>5. April was the best month. It earned ₹4.78L (29% of revenue), and sales fell to ₹40.5K by September</a:t>
          </a:r>
        </a:p>
        <a:p>
          <a:pPr algn="l"/>
          <a:r>
            <a:rPr lang="en-US" sz="1600" b="1"/>
            <a:t>6. UPI is the most used payment mode. It brings ₹6.71L (40%), followed by Cash at ₹5.02L (30%). Credit Card is the lowest at ₹2.25L.</a:t>
          </a:r>
        </a:p>
        <a:p>
          <a:pPr algn="l"/>
          <a:endParaRPr lang="en-US" sz="1600" b="1"/>
        </a:p>
        <a:p>
          <a:pPr algn="l"/>
          <a:endParaRPr lang="en-US" sz="1400" b="1">
            <a:solidFill>
              <a:schemeClr val="bg1"/>
            </a:solidFill>
          </a:endParaRPr>
        </a:p>
        <a:p>
          <a:pPr algn="ctr"/>
          <a:endParaRPr lang="en-US" sz="1400" b="1">
            <a:solidFill>
              <a:schemeClr val="bg1"/>
            </a:solidFill>
          </a:endParaRPr>
        </a:p>
        <a:p>
          <a:pPr algn="ctr"/>
          <a:endParaRPr lang="en-US" sz="1400" b="1">
            <a:solidFill>
              <a:schemeClr val="bg1"/>
            </a:solidFill>
          </a:endParaRPr>
        </a:p>
        <a:p>
          <a:pPr algn="ctr"/>
          <a:endParaRPr lang="en-US" sz="1400" b="1">
            <a:solidFill>
              <a:schemeClr val="bg1"/>
            </a:solidFill>
          </a:endParaRPr>
        </a:p>
        <a:p>
          <a:pPr algn="ctr"/>
          <a:endParaRPr lang="en-US" sz="1400" b="1">
            <a:solidFill>
              <a:schemeClr val="bg1"/>
            </a:solidFill>
          </a:endParaRPr>
        </a:p>
        <a:p>
          <a:pPr algn="ctr"/>
          <a:endParaRPr lang="en-US" sz="1400" b="1">
            <a:solidFill>
              <a:schemeClr val="bg1"/>
            </a:solidFill>
          </a:endParaRPr>
        </a:p>
        <a:p>
          <a:pPr algn="ctr"/>
          <a:endParaRPr lang="en-US" sz="1400" b="1">
            <a:solidFill>
              <a:schemeClr val="bg1"/>
            </a:solidFill>
          </a:endParaRPr>
        </a:p>
        <a:p>
          <a:pPr algn="ctr"/>
          <a:endParaRPr lang="en-US" sz="1400" b="1">
            <a:solidFill>
              <a:schemeClr val="bg1"/>
            </a:solidFill>
          </a:endParaRPr>
        </a:p>
      </xdr:txBody>
    </xdr:sp>
    <xdr:clientData/>
  </xdr:twoCellAnchor>
  <xdr:twoCellAnchor>
    <xdr:from>
      <xdr:col>21</xdr:col>
      <xdr:colOff>154216</xdr:colOff>
      <xdr:row>21</xdr:row>
      <xdr:rowOff>172356</xdr:rowOff>
    </xdr:from>
    <xdr:to>
      <xdr:col>30</xdr:col>
      <xdr:colOff>399145</xdr:colOff>
      <xdr:row>36</xdr:row>
      <xdr:rowOff>163285</xdr:rowOff>
    </xdr:to>
    <xdr:sp macro="" textlink="">
      <xdr:nvSpPr>
        <xdr:cNvPr id="14" name="Rectangle 13">
          <a:extLst>
            <a:ext uri="{FF2B5EF4-FFF2-40B4-BE49-F238E27FC236}">
              <a16:creationId xmlns:a16="http://schemas.microsoft.com/office/drawing/2014/main" id="{19509071-C4E0-3420-0EC8-81357A361D95}"/>
            </a:ext>
          </a:extLst>
        </xdr:cNvPr>
        <xdr:cNvSpPr/>
      </xdr:nvSpPr>
      <xdr:spPr>
        <a:xfrm>
          <a:off x="13462002" y="4000499"/>
          <a:ext cx="5715000" cy="2712357"/>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US" sz="2000" b="1"/>
            <a:t>RECOMMENDATIONS:</a:t>
          </a:r>
        </a:p>
        <a:p>
          <a:pPr algn="l"/>
          <a:r>
            <a:rPr lang="en-US" sz="1600" b="1"/>
            <a:t>1. Reduce dependence on Laptops. Laptops give about 47% of revenue, so promote Furniture, Monitors, and accessories (Headphones, Keyboards) with bundle offers to balance the sales.</a:t>
          </a:r>
        </a:p>
        <a:p>
          <a:pPr algn="l"/>
          <a:r>
            <a:rPr lang="en-US" sz="1600" b="1"/>
            <a:t>2. For the monthly point, say it in terms of what the chart shows, for example "Orders and units peaked in January–April and dropped after May."</a:t>
          </a:r>
        </a:p>
        <a:p>
          <a:pPr algn="l"/>
          <a:r>
            <a:rPr lang="en-US" sz="1600" b="1"/>
            <a:t>3. Grow the weaker cities and support the lower-performing rep. Hyderabad and Bangalore bring most of the revenue, so target Pune and Chennai with local promotions.</a:t>
          </a:r>
        </a:p>
        <a:p>
          <a:pPr algn="ctr"/>
          <a:endParaRPr lang="en-US" sz="2000" b="1"/>
        </a:p>
        <a:p>
          <a:pPr algn="ctr"/>
          <a:endParaRPr lang="en-US" sz="2000" b="1"/>
        </a:p>
        <a:p>
          <a:pPr algn="ctr"/>
          <a:endParaRPr lang="en-US" sz="2000" b="1"/>
        </a:p>
        <a:p>
          <a:pPr algn="ctr"/>
          <a:endParaRPr lang="en-US" sz="2000" b="1"/>
        </a:p>
        <a:p>
          <a:pPr algn="ctr"/>
          <a:endParaRPr lang="en-US" sz="2000" b="1"/>
        </a:p>
        <a:p>
          <a:pPr algn="ctr"/>
          <a:endParaRPr lang="en-US" sz="2000" b="1"/>
        </a:p>
      </xdr:txBody>
    </xdr:sp>
    <xdr:clientData/>
  </xdr:twoCellAnchor>
  <xdr:twoCellAnchor editAs="oneCell">
    <xdr:from>
      <xdr:col>5</xdr:col>
      <xdr:colOff>462643</xdr:colOff>
      <xdr:row>0</xdr:row>
      <xdr:rowOff>102509</xdr:rowOff>
    </xdr:from>
    <xdr:to>
      <xdr:col>7</xdr:col>
      <xdr:colOff>161472</xdr:colOff>
      <xdr:row>2</xdr:row>
      <xdr:rowOff>54429</xdr:rowOff>
    </xdr:to>
    <xdr:pic>
      <xdr:nvPicPr>
        <xdr:cNvPr id="19" name="Graphic 18" descr="Bar graph with upward trend with solid fill">
          <a:extLst>
            <a:ext uri="{FF2B5EF4-FFF2-40B4-BE49-F238E27FC236}">
              <a16:creationId xmlns:a16="http://schemas.microsoft.com/office/drawing/2014/main" id="{FE767EEF-42E2-361C-339F-ED54B80937D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045857" y="102509"/>
          <a:ext cx="914400" cy="31477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301.870404861111" createdVersion="8" refreshedVersion="8" minRefreshableVersion="3" recordCount="44" xr:uid="{42F7CF03-449E-49E2-9085-A55D94973BBC}">
  <cacheSource type="worksheet">
    <worksheetSource ref="A1:L45" sheet="Data Analysis"/>
  </cacheSource>
  <cacheFields count="14">
    <cacheField name="Order_ID" numFmtId="0">
      <sharedItems count="44">
        <s v="ORD1028"/>
        <s v="ORD1041"/>
        <s v="ORD1045"/>
        <s v="ORD1002"/>
        <s v="ORD1004"/>
        <s v="ORD1024"/>
        <s v="ORD1040"/>
        <s v="ORD1044"/>
        <s v="ORD1034"/>
        <s v="ORD1013"/>
        <s v="ORD1007"/>
        <s v="ORD1036"/>
        <s v="ORD1006"/>
        <s v="ORD1027"/>
        <s v="ORD1038"/>
        <s v="ORD1005"/>
        <s v="ORD1001"/>
        <s v="ORD1015"/>
        <s v="ORD1039"/>
        <s v="ORD1003"/>
        <s v="ORD1009"/>
        <s v="ORD1016"/>
        <s v="ORD1023"/>
        <s v="ORD1025"/>
        <s v="ORD1031"/>
        <s v="ORD1019"/>
        <s v="ORD1020"/>
        <s v="ORD1033"/>
        <s v="ORD1029"/>
        <s v="ORD1037"/>
        <s v="ORD1011"/>
        <s v="ORD1012"/>
        <s v="ORD1030"/>
        <s v="ORD1022"/>
        <s v="ORD1018"/>
        <s v="ORD1026"/>
        <s v="ORD1017"/>
        <s v="ORD1010"/>
        <s v="ORD1014"/>
        <s v="ORD1008"/>
        <s v="ORD1035"/>
        <s v="ORD1042"/>
        <s v="ORD1032"/>
        <s v="ORD1021"/>
      </sharedItems>
    </cacheField>
    <cacheField name="Order_Date" numFmtId="164">
      <sharedItems containsSemiMixedTypes="0" containsNonDate="0" containsDate="1" containsString="0" minDate="2026-01-07T00:00:00" maxDate="2026-09-21T00:00:00" count="38">
        <d v="2026-01-07T00:00:00"/>
        <d v="2026-01-09T00:00:00"/>
        <d v="2026-01-11T00:00:00"/>
        <d v="2026-01-17T00:00:00"/>
        <d v="2026-01-19T00:00:00"/>
        <d v="2026-01-24T00:00:00"/>
        <d v="2026-01-25T00:00:00"/>
        <d v="2026-02-08T00:00:00"/>
        <d v="2026-02-09T00:00:00"/>
        <d v="2026-02-19T00:00:00"/>
        <d v="2026-02-22T00:00:00"/>
        <d v="2026-03-04T00:00:00"/>
        <d v="2026-03-06T00:00:00"/>
        <d v="2026-03-10T00:00:00"/>
        <d v="2026-03-13T00:00:00"/>
        <d v="2026-03-20T00:00:00"/>
        <d v="2026-04-03T00:00:00"/>
        <d v="2026-04-13T00:00:00"/>
        <d v="2026-04-15T00:00:00"/>
        <d v="2026-04-20T00:00:00"/>
        <d v="2026-04-22T00:00:00"/>
        <d v="2026-05-01T00:00:00"/>
        <d v="2026-05-07T00:00:00"/>
        <d v="2026-05-21T00:00:00"/>
        <d v="2026-06-03T00:00:00"/>
        <d v="2026-06-05T00:00:00"/>
        <d v="2026-06-11T00:00:00"/>
        <d v="2026-06-25T00:00:00"/>
        <d v="2026-07-04T00:00:00"/>
        <d v="2026-07-12T00:00:00"/>
        <d v="2026-07-15T00:00:00"/>
        <d v="2026-07-18T00:00:00"/>
        <d v="2026-08-10T00:00:00"/>
        <d v="2026-08-19T00:00:00"/>
        <d v="2026-08-20T00:00:00"/>
        <d v="2026-09-14T00:00:00"/>
        <d v="2026-09-16T00:00:00"/>
        <d v="2026-09-20T00:00:00"/>
      </sharedItems>
      <fieldGroup par="13"/>
    </cacheField>
    <cacheField name="Customer_Name" numFmtId="0">
      <sharedItems/>
    </cacheField>
    <cacheField name="City" numFmtId="0">
      <sharedItems count="5">
        <s v="Chennai"/>
        <s v="Unknown"/>
        <s v="Hyderabad"/>
        <s v="Pune"/>
        <s v="Bangalore"/>
      </sharedItems>
    </cacheField>
    <cacheField name="Product" numFmtId="0">
      <sharedItems count="6">
        <s v="Headphones"/>
        <s v="Keyboard"/>
        <s v="Laptop"/>
        <s v="Office Chair"/>
        <s v="Monitor"/>
        <s v="Desk"/>
      </sharedItems>
    </cacheField>
    <cacheField name="Category" numFmtId="0">
      <sharedItems count="2">
        <s v="Electronics"/>
        <s v="Furniture"/>
      </sharedItems>
    </cacheField>
    <cacheField name="Quantity" numFmtId="0">
      <sharedItems containsSemiMixedTypes="0" containsString="0" containsNumber="1" containsInteger="1" minValue="1" maxValue="5"/>
    </cacheField>
    <cacheField name="Unit_Price" numFmtId="3">
      <sharedItems containsSemiMixedTypes="0" containsString="0" containsNumber="1" containsInteger="1" minValue="2500" maxValue="55000"/>
    </cacheField>
    <cacheField name="Payment_Mode" numFmtId="0">
      <sharedItems count="4">
        <s v="Credit Card"/>
        <s v="Cash"/>
        <s v="Debit Card"/>
        <s v="UPI"/>
      </sharedItems>
    </cacheField>
    <cacheField name="Sales_Rep" numFmtId="0">
      <sharedItems count="4">
        <s v="Ramesh"/>
        <s v="Vikram"/>
        <s v="Neha"/>
        <s v="Lakshmi"/>
      </sharedItems>
    </cacheField>
    <cacheField name="Revenue" numFmtId="0">
      <sharedItems containsSemiMixedTypes="0" containsString="0" containsNumber="1" containsInteger="1" minValue="2500" maxValue="165000" count="21">
        <n v="7000"/>
        <n v="12500"/>
        <n v="17500"/>
        <n v="3500"/>
        <n v="2500"/>
        <n v="55000"/>
        <n v="110000"/>
        <n v="5000"/>
        <n v="25500"/>
        <n v="30000"/>
        <n v="165000"/>
        <n v="42500"/>
        <n v="8500"/>
        <n v="45000"/>
        <n v="7500"/>
        <n v="10000"/>
        <n v="48000"/>
        <n v="10500"/>
        <n v="14000"/>
        <n v="75000"/>
        <n v="15000"/>
      </sharedItems>
    </cacheField>
    <cacheField name="Month" numFmtId="0">
      <sharedItems count="9">
        <s v="Jan"/>
        <s v="Feb"/>
        <s v="Mar"/>
        <s v="Apr"/>
        <s v="May"/>
        <s v="Jun"/>
        <s v="Jul"/>
        <s v="Aug"/>
        <s v="Sep"/>
      </sharedItems>
    </cacheField>
    <cacheField name="Days (Order_Date)" numFmtId="0" databaseField="0">
      <fieldGroup base="1">
        <rangePr groupBy="days" startDate="2026-01-07T00:00:00" endDate="2026-09-21T00:00:00"/>
        <groupItems count="368">
          <s v="&lt;1/7/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9/21/2026"/>
        </groupItems>
      </fieldGroup>
    </cacheField>
    <cacheField name="Months (Order_Date)" numFmtId="0" databaseField="0">
      <fieldGroup base="1">
        <rangePr groupBy="months" startDate="2026-01-07T00:00:00" endDate="2026-09-21T00:00:00"/>
        <groupItems count="14">
          <s v="&lt;1/7/2026"/>
          <s v="Jan"/>
          <s v="Feb"/>
          <s v="Mar"/>
          <s v="Apr"/>
          <s v="May"/>
          <s v="Jun"/>
          <s v="Jul"/>
          <s v="Aug"/>
          <s v="Sep"/>
          <s v="Oct"/>
          <s v="Nov"/>
          <s v="Dec"/>
          <s v="&gt;9/21/2026"/>
        </groupItems>
      </fieldGroup>
    </cacheField>
  </cacheFields>
  <extLst>
    <ext xmlns:x14="http://schemas.microsoft.com/office/spreadsheetml/2009/9/main" uri="{725AE2AE-9491-48be-B2B4-4EB974FC3084}">
      <x14:pivotCacheDefinition pivotCacheId="4141368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
  <r>
    <x v="0"/>
    <x v="0"/>
    <s v="Meena"/>
    <x v="0"/>
    <x v="0"/>
    <x v="0"/>
    <n v="2"/>
    <n v="3500"/>
    <x v="0"/>
    <x v="0"/>
    <x v="0"/>
    <x v="0"/>
  </r>
  <r>
    <x v="1"/>
    <x v="1"/>
    <s v="Sneha"/>
    <x v="1"/>
    <x v="1"/>
    <x v="0"/>
    <n v="5"/>
    <n v="2500"/>
    <x v="0"/>
    <x v="1"/>
    <x v="1"/>
    <x v="0"/>
  </r>
  <r>
    <x v="2"/>
    <x v="2"/>
    <s v="Meena"/>
    <x v="2"/>
    <x v="0"/>
    <x v="0"/>
    <n v="5"/>
    <n v="3500"/>
    <x v="1"/>
    <x v="0"/>
    <x v="2"/>
    <x v="0"/>
  </r>
  <r>
    <x v="3"/>
    <x v="3"/>
    <s v="Sneha"/>
    <x v="2"/>
    <x v="0"/>
    <x v="0"/>
    <n v="1"/>
    <n v="3500"/>
    <x v="1"/>
    <x v="2"/>
    <x v="3"/>
    <x v="0"/>
  </r>
  <r>
    <x v="4"/>
    <x v="4"/>
    <s v="Suresh"/>
    <x v="3"/>
    <x v="1"/>
    <x v="0"/>
    <n v="1"/>
    <n v="2500"/>
    <x v="0"/>
    <x v="0"/>
    <x v="4"/>
    <x v="0"/>
  </r>
  <r>
    <x v="5"/>
    <x v="4"/>
    <s v="Arjun"/>
    <x v="2"/>
    <x v="2"/>
    <x v="0"/>
    <n v="1"/>
    <n v="55000"/>
    <x v="2"/>
    <x v="0"/>
    <x v="5"/>
    <x v="0"/>
  </r>
  <r>
    <x v="6"/>
    <x v="5"/>
    <s v="Priya"/>
    <x v="2"/>
    <x v="2"/>
    <x v="0"/>
    <n v="2"/>
    <n v="55000"/>
    <x v="1"/>
    <x v="3"/>
    <x v="6"/>
    <x v="0"/>
  </r>
  <r>
    <x v="7"/>
    <x v="6"/>
    <s v="Arjun"/>
    <x v="4"/>
    <x v="1"/>
    <x v="0"/>
    <n v="2"/>
    <n v="2500"/>
    <x v="1"/>
    <x v="0"/>
    <x v="7"/>
    <x v="0"/>
  </r>
  <r>
    <x v="8"/>
    <x v="7"/>
    <s v="Priya"/>
    <x v="4"/>
    <x v="3"/>
    <x v="1"/>
    <n v="3"/>
    <n v="8500"/>
    <x v="0"/>
    <x v="1"/>
    <x v="8"/>
    <x v="1"/>
  </r>
  <r>
    <x v="9"/>
    <x v="8"/>
    <s v="Ravi"/>
    <x v="2"/>
    <x v="2"/>
    <x v="0"/>
    <n v="1"/>
    <n v="55000"/>
    <x v="3"/>
    <x v="1"/>
    <x v="5"/>
    <x v="1"/>
  </r>
  <r>
    <x v="10"/>
    <x v="9"/>
    <s v="Rahul"/>
    <x v="2"/>
    <x v="0"/>
    <x v="0"/>
    <n v="2"/>
    <n v="3500"/>
    <x v="1"/>
    <x v="2"/>
    <x v="0"/>
    <x v="1"/>
  </r>
  <r>
    <x v="11"/>
    <x v="10"/>
    <s v="Priya"/>
    <x v="3"/>
    <x v="4"/>
    <x v="0"/>
    <n v="2"/>
    <n v="15000"/>
    <x v="1"/>
    <x v="3"/>
    <x v="9"/>
    <x v="1"/>
  </r>
  <r>
    <x v="12"/>
    <x v="11"/>
    <s v="Suresh"/>
    <x v="2"/>
    <x v="0"/>
    <x v="0"/>
    <n v="2"/>
    <n v="3500"/>
    <x v="2"/>
    <x v="0"/>
    <x v="0"/>
    <x v="2"/>
  </r>
  <r>
    <x v="13"/>
    <x v="11"/>
    <s v="Anil"/>
    <x v="4"/>
    <x v="2"/>
    <x v="0"/>
    <n v="3"/>
    <n v="55000"/>
    <x v="1"/>
    <x v="3"/>
    <x v="10"/>
    <x v="2"/>
  </r>
  <r>
    <x v="14"/>
    <x v="12"/>
    <s v="Arjun"/>
    <x v="2"/>
    <x v="4"/>
    <x v="0"/>
    <n v="2"/>
    <n v="15000"/>
    <x v="3"/>
    <x v="2"/>
    <x v="9"/>
    <x v="2"/>
  </r>
  <r>
    <x v="15"/>
    <x v="13"/>
    <s v="Unknown"/>
    <x v="4"/>
    <x v="0"/>
    <x v="0"/>
    <n v="5"/>
    <n v="3500"/>
    <x v="3"/>
    <x v="1"/>
    <x v="2"/>
    <x v="2"/>
  </r>
  <r>
    <x v="16"/>
    <x v="14"/>
    <s v="Rahul"/>
    <x v="2"/>
    <x v="3"/>
    <x v="1"/>
    <n v="5"/>
    <n v="8500"/>
    <x v="3"/>
    <x v="1"/>
    <x v="11"/>
    <x v="2"/>
  </r>
  <r>
    <x v="17"/>
    <x v="15"/>
    <s v="Priya"/>
    <x v="3"/>
    <x v="3"/>
    <x v="1"/>
    <n v="1"/>
    <n v="8500"/>
    <x v="0"/>
    <x v="1"/>
    <x v="12"/>
    <x v="2"/>
  </r>
  <r>
    <x v="18"/>
    <x v="15"/>
    <s v="Suresh"/>
    <x v="3"/>
    <x v="4"/>
    <x v="0"/>
    <n v="3"/>
    <n v="15000"/>
    <x v="0"/>
    <x v="3"/>
    <x v="13"/>
    <x v="2"/>
  </r>
  <r>
    <x v="19"/>
    <x v="16"/>
    <s v="Meena"/>
    <x v="3"/>
    <x v="2"/>
    <x v="0"/>
    <n v="1"/>
    <n v="55000"/>
    <x v="3"/>
    <x v="0"/>
    <x v="5"/>
    <x v="3"/>
  </r>
  <r>
    <x v="20"/>
    <x v="16"/>
    <s v="Suresh"/>
    <x v="0"/>
    <x v="4"/>
    <x v="0"/>
    <n v="3"/>
    <n v="15000"/>
    <x v="1"/>
    <x v="1"/>
    <x v="13"/>
    <x v="3"/>
  </r>
  <r>
    <x v="21"/>
    <x v="17"/>
    <s v="Divya"/>
    <x v="4"/>
    <x v="1"/>
    <x v="0"/>
    <n v="3"/>
    <n v="2500"/>
    <x v="3"/>
    <x v="3"/>
    <x v="14"/>
    <x v="3"/>
  </r>
  <r>
    <x v="22"/>
    <x v="18"/>
    <s v="Arjun"/>
    <x v="2"/>
    <x v="2"/>
    <x v="0"/>
    <n v="3"/>
    <n v="55000"/>
    <x v="3"/>
    <x v="0"/>
    <x v="10"/>
    <x v="3"/>
  </r>
  <r>
    <x v="23"/>
    <x v="19"/>
    <s v="Divya"/>
    <x v="4"/>
    <x v="2"/>
    <x v="0"/>
    <n v="3"/>
    <n v="55000"/>
    <x v="2"/>
    <x v="1"/>
    <x v="10"/>
    <x v="3"/>
  </r>
  <r>
    <x v="24"/>
    <x v="19"/>
    <s v="Sneha"/>
    <x v="0"/>
    <x v="4"/>
    <x v="0"/>
    <n v="2"/>
    <n v="15000"/>
    <x v="1"/>
    <x v="3"/>
    <x v="9"/>
    <x v="3"/>
  </r>
  <r>
    <x v="25"/>
    <x v="20"/>
    <s v="Sneha"/>
    <x v="2"/>
    <x v="2"/>
    <x v="0"/>
    <n v="4"/>
    <n v="2500"/>
    <x v="3"/>
    <x v="3"/>
    <x v="15"/>
    <x v="3"/>
  </r>
  <r>
    <x v="26"/>
    <x v="21"/>
    <s v="Arjun"/>
    <x v="3"/>
    <x v="3"/>
    <x v="1"/>
    <n v="5"/>
    <n v="8500"/>
    <x v="2"/>
    <x v="1"/>
    <x v="11"/>
    <x v="4"/>
  </r>
  <r>
    <x v="27"/>
    <x v="22"/>
    <s v="Suresh"/>
    <x v="0"/>
    <x v="5"/>
    <x v="1"/>
    <n v="4"/>
    <n v="12000"/>
    <x v="0"/>
    <x v="1"/>
    <x v="16"/>
    <x v="4"/>
  </r>
  <r>
    <x v="28"/>
    <x v="23"/>
    <s v="Priya"/>
    <x v="4"/>
    <x v="0"/>
    <x v="0"/>
    <n v="3"/>
    <n v="3500"/>
    <x v="3"/>
    <x v="1"/>
    <x v="17"/>
    <x v="4"/>
  </r>
  <r>
    <x v="29"/>
    <x v="24"/>
    <s v="Priya"/>
    <x v="3"/>
    <x v="5"/>
    <x v="1"/>
    <n v="4"/>
    <n v="12000"/>
    <x v="0"/>
    <x v="0"/>
    <x v="16"/>
    <x v="5"/>
  </r>
  <r>
    <x v="30"/>
    <x v="25"/>
    <s v="Ravi"/>
    <x v="3"/>
    <x v="1"/>
    <x v="0"/>
    <n v="1"/>
    <n v="2500"/>
    <x v="0"/>
    <x v="0"/>
    <x v="4"/>
    <x v="5"/>
  </r>
  <r>
    <x v="31"/>
    <x v="26"/>
    <s v="Anil"/>
    <x v="2"/>
    <x v="0"/>
    <x v="0"/>
    <n v="4"/>
    <n v="3500"/>
    <x v="3"/>
    <x v="2"/>
    <x v="18"/>
    <x v="5"/>
  </r>
  <r>
    <x v="32"/>
    <x v="27"/>
    <s v="Sneha"/>
    <x v="2"/>
    <x v="1"/>
    <x v="0"/>
    <n v="5"/>
    <n v="15000"/>
    <x v="3"/>
    <x v="1"/>
    <x v="19"/>
    <x v="5"/>
  </r>
  <r>
    <x v="33"/>
    <x v="28"/>
    <s v="Ravi"/>
    <x v="4"/>
    <x v="5"/>
    <x v="1"/>
    <n v="4"/>
    <n v="12000"/>
    <x v="3"/>
    <x v="3"/>
    <x v="16"/>
    <x v="6"/>
  </r>
  <r>
    <x v="34"/>
    <x v="29"/>
    <s v="Divya"/>
    <x v="4"/>
    <x v="4"/>
    <x v="0"/>
    <n v="2"/>
    <n v="15000"/>
    <x v="3"/>
    <x v="3"/>
    <x v="9"/>
    <x v="6"/>
  </r>
  <r>
    <x v="35"/>
    <x v="30"/>
    <s v="Ravi"/>
    <x v="3"/>
    <x v="5"/>
    <x v="1"/>
    <n v="4"/>
    <n v="12000"/>
    <x v="1"/>
    <x v="1"/>
    <x v="16"/>
    <x v="6"/>
  </r>
  <r>
    <x v="36"/>
    <x v="31"/>
    <s v="Kiran"/>
    <x v="4"/>
    <x v="5"/>
    <x v="1"/>
    <n v="4"/>
    <n v="12000"/>
    <x v="3"/>
    <x v="1"/>
    <x v="16"/>
    <x v="6"/>
  </r>
  <r>
    <x v="37"/>
    <x v="32"/>
    <s v="Suresh"/>
    <x v="2"/>
    <x v="4"/>
    <x v="0"/>
    <n v="1"/>
    <n v="15000"/>
    <x v="3"/>
    <x v="2"/>
    <x v="20"/>
    <x v="7"/>
  </r>
  <r>
    <x v="38"/>
    <x v="32"/>
    <s v="Divya"/>
    <x v="4"/>
    <x v="4"/>
    <x v="0"/>
    <n v="3"/>
    <n v="15000"/>
    <x v="3"/>
    <x v="2"/>
    <x v="13"/>
    <x v="7"/>
  </r>
  <r>
    <x v="39"/>
    <x v="33"/>
    <s v="Ravi"/>
    <x v="0"/>
    <x v="3"/>
    <x v="1"/>
    <n v="3"/>
    <n v="8500"/>
    <x v="0"/>
    <x v="3"/>
    <x v="8"/>
    <x v="7"/>
  </r>
  <r>
    <x v="40"/>
    <x v="34"/>
    <s v="Suresh"/>
    <x v="0"/>
    <x v="1"/>
    <x v="0"/>
    <n v="1"/>
    <n v="2500"/>
    <x v="1"/>
    <x v="1"/>
    <x v="4"/>
    <x v="7"/>
  </r>
  <r>
    <x v="41"/>
    <x v="35"/>
    <s v="Arjun"/>
    <x v="2"/>
    <x v="3"/>
    <x v="1"/>
    <n v="3"/>
    <n v="8500"/>
    <x v="1"/>
    <x v="2"/>
    <x v="8"/>
    <x v="8"/>
  </r>
  <r>
    <x v="42"/>
    <x v="36"/>
    <s v="Anil"/>
    <x v="4"/>
    <x v="1"/>
    <x v="0"/>
    <n v="1"/>
    <n v="2500"/>
    <x v="3"/>
    <x v="1"/>
    <x v="4"/>
    <x v="8"/>
  </r>
  <r>
    <x v="43"/>
    <x v="37"/>
    <s v="Rahul"/>
    <x v="3"/>
    <x v="1"/>
    <x v="0"/>
    <n v="5"/>
    <n v="2500"/>
    <x v="1"/>
    <x v="2"/>
    <x v="1"/>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40A961-4526-4299-9D87-800A39F7345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ity">
  <location ref="A31:B37" firstHeaderRow="1" firstDataRow="1" firstDataCol="1"/>
  <pivotFields count="14">
    <pivotField showAll="0">
      <items count="45">
        <item x="16"/>
        <item x="3"/>
        <item x="19"/>
        <item x="4"/>
        <item x="15"/>
        <item x="12"/>
        <item x="10"/>
        <item x="39"/>
        <item x="20"/>
        <item x="37"/>
        <item x="30"/>
        <item x="31"/>
        <item x="9"/>
        <item x="38"/>
        <item x="17"/>
        <item x="21"/>
        <item x="36"/>
        <item x="34"/>
        <item x="25"/>
        <item x="26"/>
        <item x="43"/>
        <item x="33"/>
        <item x="22"/>
        <item x="5"/>
        <item x="23"/>
        <item x="35"/>
        <item x="13"/>
        <item x="0"/>
        <item x="28"/>
        <item x="32"/>
        <item x="24"/>
        <item x="42"/>
        <item x="27"/>
        <item x="8"/>
        <item x="40"/>
        <item x="11"/>
        <item x="29"/>
        <item x="14"/>
        <item x="18"/>
        <item x="6"/>
        <item x="1"/>
        <item x="41"/>
        <item x="7"/>
        <item x="2"/>
        <item t="default"/>
      </items>
    </pivotField>
    <pivotField numFmtId="164" showAll="0">
      <items count="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showAll="0"/>
    <pivotField axis="axisRow" showAll="0">
      <items count="6">
        <item x="4"/>
        <item x="0"/>
        <item x="2"/>
        <item x="3"/>
        <item x="1"/>
        <item t="default"/>
      </items>
    </pivotField>
    <pivotField showAll="0">
      <items count="7">
        <item x="5"/>
        <item x="0"/>
        <item x="1"/>
        <item x="2"/>
        <item x="4"/>
        <item x="3"/>
        <item t="default"/>
      </items>
    </pivotField>
    <pivotField showAll="0">
      <items count="3">
        <item x="0"/>
        <item x="1"/>
        <item t="default"/>
      </items>
    </pivotField>
    <pivotField showAll="0"/>
    <pivotField numFmtId="3" showAll="0"/>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6">
    <i>
      <x/>
    </i>
    <i>
      <x v="1"/>
    </i>
    <i>
      <x v="2"/>
    </i>
    <i>
      <x v="3"/>
    </i>
    <i>
      <x v="4"/>
    </i>
    <i t="grand">
      <x/>
    </i>
  </rowItems>
  <colItems count="1">
    <i/>
  </colItems>
  <dataFields count="1">
    <dataField name="Total Revenue" fld="10" baseField="0" baseItem="0" numFmtId="166"/>
  </dataFields>
  <formats count="1">
    <format dxfId="5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68FB46-43BE-4C48-B5E6-1CB1C066AE1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2" rowHeaderCaption="Payment Mode">
  <location ref="A59:B64" firstHeaderRow="1" firstDataRow="1" firstDataCol="1"/>
  <pivotFields count="14">
    <pivotField showAll="0">
      <items count="45">
        <item x="16"/>
        <item x="3"/>
        <item x="19"/>
        <item x="4"/>
        <item x="15"/>
        <item x="12"/>
        <item x="10"/>
        <item x="39"/>
        <item x="20"/>
        <item x="37"/>
        <item x="30"/>
        <item x="31"/>
        <item x="9"/>
        <item x="38"/>
        <item x="17"/>
        <item x="21"/>
        <item x="36"/>
        <item x="34"/>
        <item x="25"/>
        <item x="26"/>
        <item x="43"/>
        <item x="33"/>
        <item x="22"/>
        <item x="5"/>
        <item x="23"/>
        <item x="35"/>
        <item x="13"/>
        <item x="0"/>
        <item x="28"/>
        <item x="32"/>
        <item x="24"/>
        <item x="42"/>
        <item x="27"/>
        <item x="8"/>
        <item x="40"/>
        <item x="11"/>
        <item x="29"/>
        <item x="14"/>
        <item x="18"/>
        <item x="6"/>
        <item x="1"/>
        <item x="41"/>
        <item x="7"/>
        <item x="2"/>
        <item t="default"/>
      </items>
    </pivotField>
    <pivotField numFmtId="164" showAll="0">
      <items count="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showAll="0"/>
    <pivotField showAll="0">
      <items count="6">
        <item x="4"/>
        <item x="0"/>
        <item x="2"/>
        <item x="3"/>
        <item x="1"/>
        <item t="default"/>
      </items>
    </pivotField>
    <pivotField showAll="0">
      <items count="7">
        <item x="5"/>
        <item x="0"/>
        <item x="1"/>
        <item x="2"/>
        <item x="4"/>
        <item x="3"/>
        <item t="default"/>
      </items>
    </pivotField>
    <pivotField showAll="0">
      <items count="3">
        <item x="0"/>
        <item x="1"/>
        <item t="default"/>
      </items>
    </pivotField>
    <pivotField showAll="0"/>
    <pivotField numFmtId="3" showAll="0"/>
    <pivotField axis="axisRow" showAll="0">
      <items count="5">
        <item x="1"/>
        <item x="0"/>
        <item x="2"/>
        <item x="3"/>
        <item t="default"/>
      </items>
    </pivotField>
    <pivotField showAll="0"/>
    <pivotField dataField="1" showAll="0"/>
    <pivotField showAll="0">
      <items count="10">
        <item x="0"/>
        <item x="1"/>
        <item x="2"/>
        <item x="3"/>
        <item x="4"/>
        <item x="5"/>
        <item x="6"/>
        <item x="7"/>
        <item x="8"/>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5">
    <i>
      <x/>
    </i>
    <i>
      <x v="1"/>
    </i>
    <i>
      <x v="2"/>
    </i>
    <i>
      <x v="3"/>
    </i>
    <i t="grand">
      <x/>
    </i>
  </rowItems>
  <colItems count="1">
    <i/>
  </colItems>
  <dataFields count="1">
    <dataField name="Total Revenue" fld="10" baseField="5" baseItem="0" numFmtId="166"/>
  </dataFields>
  <formats count="4">
    <format dxfId="55">
      <pivotArea grandRow="1" outline="0" collapsedLevelsAreSubtotals="1" fieldPosition="0"/>
    </format>
    <format dxfId="54">
      <pivotArea outline="0" fieldPosition="0">
        <references count="1">
          <reference field="4294967294" count="1">
            <x v="0"/>
          </reference>
        </references>
      </pivotArea>
    </format>
    <format dxfId="53">
      <pivotArea collapsedLevelsAreSubtotals="1" fieldPosition="0">
        <references count="1">
          <reference field="8" count="0"/>
        </references>
      </pivotArea>
    </format>
    <format dxfId="52">
      <pivotArea outline="0" collapsedLevelsAreSubtotals="1" fieldPosition="0"/>
    </format>
  </formats>
  <chartFormats count="2">
    <chartFormat chart="99" format="0" series="1">
      <pivotArea type="data" outline="0" fieldPosition="0">
        <references count="1">
          <reference field="4294967294" count="1" selected="0">
            <x v="0"/>
          </reference>
        </references>
      </pivotArea>
    </chartFormat>
    <chartFormat chart="10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25EB55-1236-407B-9D61-3FA62E6C7DC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A16:A17" firstHeaderRow="1" firstDataRow="1" firstDataCol="0"/>
  <pivotFields count="14">
    <pivotField showAll="0">
      <items count="45">
        <item x="16"/>
        <item x="3"/>
        <item x="19"/>
        <item x="4"/>
        <item x="15"/>
        <item x="12"/>
        <item x="10"/>
        <item x="39"/>
        <item x="20"/>
        <item x="37"/>
        <item x="30"/>
        <item x="31"/>
        <item x="9"/>
        <item x="38"/>
        <item x="17"/>
        <item x="21"/>
        <item x="36"/>
        <item x="34"/>
        <item x="25"/>
        <item x="26"/>
        <item x="43"/>
        <item x="33"/>
        <item x="22"/>
        <item x="5"/>
        <item x="23"/>
        <item x="35"/>
        <item x="13"/>
        <item x="0"/>
        <item x="28"/>
        <item x="32"/>
        <item x="24"/>
        <item x="42"/>
        <item x="27"/>
        <item x="8"/>
        <item x="40"/>
        <item x="11"/>
        <item x="29"/>
        <item x="14"/>
        <item x="18"/>
        <item x="6"/>
        <item x="1"/>
        <item x="41"/>
        <item x="7"/>
        <item x="2"/>
        <item t="default"/>
      </items>
    </pivotField>
    <pivotField numFmtId="164" showAll="0">
      <items count="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showAll="0"/>
    <pivotField showAll="0">
      <items count="6">
        <item x="4"/>
        <item x="0"/>
        <item x="2"/>
        <item x="3"/>
        <item x="1"/>
        <item t="default"/>
      </items>
    </pivotField>
    <pivotField showAll="0">
      <items count="7">
        <item x="5"/>
        <item x="0"/>
        <item x="1"/>
        <item x="2"/>
        <item x="4"/>
        <item x="3"/>
        <item t="default"/>
      </items>
    </pivotField>
    <pivotField showAll="0">
      <items count="3">
        <item x="0"/>
        <item x="1"/>
        <item t="default"/>
      </items>
    </pivotField>
    <pivotField dataField="1" showAll="0"/>
    <pivotField numFmtId="3"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Total Unit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74B1C1-7AA4-492A-9F40-84EF2B88DED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8" rowHeaderCaption="Month">
  <location ref="A41:C51" firstHeaderRow="0" firstDataRow="1" firstDataCol="1"/>
  <pivotFields count="14">
    <pivotField dataField="1" showAll="0">
      <items count="45">
        <item x="16"/>
        <item x="3"/>
        <item x="19"/>
        <item x="4"/>
        <item x="15"/>
        <item x="12"/>
        <item x="10"/>
        <item x="39"/>
        <item x="20"/>
        <item x="37"/>
        <item x="30"/>
        <item x="31"/>
        <item x="9"/>
        <item x="38"/>
        <item x="17"/>
        <item x="21"/>
        <item x="36"/>
        <item x="34"/>
        <item x="25"/>
        <item x="26"/>
        <item x="43"/>
        <item x="33"/>
        <item x="22"/>
        <item x="5"/>
        <item x="23"/>
        <item x="35"/>
        <item x="13"/>
        <item x="0"/>
        <item x="28"/>
        <item x="32"/>
        <item x="24"/>
        <item x="42"/>
        <item x="27"/>
        <item x="8"/>
        <item x="40"/>
        <item x="11"/>
        <item x="29"/>
        <item x="14"/>
        <item x="18"/>
        <item x="6"/>
        <item x="1"/>
        <item x="41"/>
        <item x="7"/>
        <item x="2"/>
        <item t="default"/>
      </items>
    </pivotField>
    <pivotField numFmtId="164" showAll="0">
      <items count="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showAll="0"/>
    <pivotField showAll="0">
      <items count="6">
        <item x="4"/>
        <item x="0"/>
        <item x="2"/>
        <item x="3"/>
        <item x="1"/>
        <item t="default"/>
      </items>
    </pivotField>
    <pivotField showAll="0">
      <items count="7">
        <item x="5"/>
        <item x="0"/>
        <item x="1"/>
        <item x="2"/>
        <item x="4"/>
        <item x="3"/>
        <item t="default"/>
      </items>
    </pivotField>
    <pivotField showAll="0">
      <items count="3">
        <item x="0"/>
        <item x="1"/>
        <item t="default"/>
      </items>
    </pivotField>
    <pivotField dataField="1" showAll="0"/>
    <pivotField numFmtId="3" showAll="0"/>
    <pivotField showAll="0"/>
    <pivotField showAll="0"/>
    <pivotField showAll="0"/>
    <pivotField axis="axisRow" showAll="0">
      <items count="10">
        <item x="0"/>
        <item x="1"/>
        <item x="2"/>
        <item x="3"/>
        <item x="4"/>
        <item x="5"/>
        <item x="6"/>
        <item x="7"/>
        <item x="8"/>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1"/>
  </rowFields>
  <rowItems count="10">
    <i>
      <x/>
    </i>
    <i>
      <x v="1"/>
    </i>
    <i>
      <x v="2"/>
    </i>
    <i>
      <x v="3"/>
    </i>
    <i>
      <x v="4"/>
    </i>
    <i>
      <x v="5"/>
    </i>
    <i>
      <x v="6"/>
    </i>
    <i>
      <x v="7"/>
    </i>
    <i>
      <x v="8"/>
    </i>
    <i t="grand">
      <x/>
    </i>
  </rowItems>
  <colFields count="1">
    <field x="-2"/>
  </colFields>
  <colItems count="2">
    <i>
      <x/>
    </i>
    <i i="1">
      <x v="1"/>
    </i>
  </colItems>
  <dataFields count="2">
    <dataField name="Orders" fld="0" subtotal="count" baseField="0" baseItem="0"/>
    <dataField name=" Quantity" fld="6" baseField="0" baseItem="0"/>
  </dataFields>
  <formats count="1">
    <format dxfId="56">
      <pivotArea outline="0" collapsedLevelsAreSubtotals="1" fieldPosition="0"/>
    </format>
  </formats>
  <chartFormats count="8">
    <chartFormat chart="41"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1"/>
          </reference>
        </references>
      </pivotArea>
    </chartFormat>
    <chartFormat chart="65" format="0" series="1">
      <pivotArea type="data" outline="0" fieldPosition="0">
        <references count="1">
          <reference field="4294967294" count="1" selected="0">
            <x v="0"/>
          </reference>
        </references>
      </pivotArea>
    </chartFormat>
    <chartFormat chart="65" format="1" series="1">
      <pivotArea type="data" outline="0" fieldPosition="0">
        <references count="1">
          <reference field="4294967294" count="1" selected="0">
            <x v="1"/>
          </reference>
        </references>
      </pivotArea>
    </chartFormat>
    <chartFormat chart="93" format="0" series="1">
      <pivotArea type="data" outline="0" fieldPosition="0">
        <references count="1">
          <reference field="4294967294" count="1" selected="0">
            <x v="0"/>
          </reference>
        </references>
      </pivotArea>
    </chartFormat>
    <chartFormat chart="93" format="1" series="1">
      <pivotArea type="data" outline="0" fieldPosition="0">
        <references count="1">
          <reference field="4294967294" count="1" selected="0">
            <x v="1"/>
          </reference>
        </references>
      </pivotArea>
    </chartFormat>
    <chartFormat chart="97" format="0" series="1">
      <pivotArea type="data" outline="0" fieldPosition="0">
        <references count="1">
          <reference field="4294967294" count="1" selected="0">
            <x v="0"/>
          </reference>
        </references>
      </pivotArea>
    </chartFormat>
    <chartFormat chart="97"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4697E1-E396-4111-AE46-516B78D1888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0" rowHeaderCaption="Category">
  <location ref="A53:B56" firstHeaderRow="1" firstDataRow="1" firstDataCol="1"/>
  <pivotFields count="14">
    <pivotField showAll="0">
      <items count="45">
        <item x="16"/>
        <item x="3"/>
        <item x="19"/>
        <item x="4"/>
        <item x="15"/>
        <item x="12"/>
        <item x="10"/>
        <item x="39"/>
        <item x="20"/>
        <item x="37"/>
        <item x="30"/>
        <item x="31"/>
        <item x="9"/>
        <item x="38"/>
        <item x="17"/>
        <item x="21"/>
        <item x="36"/>
        <item x="34"/>
        <item x="25"/>
        <item x="26"/>
        <item x="43"/>
        <item x="33"/>
        <item x="22"/>
        <item x="5"/>
        <item x="23"/>
        <item x="35"/>
        <item x="13"/>
        <item x="0"/>
        <item x="28"/>
        <item x="32"/>
        <item x="24"/>
        <item x="42"/>
        <item x="27"/>
        <item x="8"/>
        <item x="40"/>
        <item x="11"/>
        <item x="29"/>
        <item x="14"/>
        <item x="18"/>
        <item x="6"/>
        <item x="1"/>
        <item x="41"/>
        <item x="7"/>
        <item x="2"/>
        <item t="default"/>
      </items>
    </pivotField>
    <pivotField numFmtId="164" showAll="0">
      <items count="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showAll="0"/>
    <pivotField showAll="0">
      <items count="6">
        <item x="4"/>
        <item x="0"/>
        <item x="2"/>
        <item x="3"/>
        <item x="1"/>
        <item t="default"/>
      </items>
    </pivotField>
    <pivotField showAll="0">
      <items count="7">
        <item x="5"/>
        <item x="0"/>
        <item x="1"/>
        <item x="2"/>
        <item x="4"/>
        <item x="3"/>
        <item t="default"/>
      </items>
    </pivotField>
    <pivotField axis="axisRow" showAll="0">
      <items count="3">
        <item x="0"/>
        <item x="1"/>
        <item t="default"/>
      </items>
    </pivotField>
    <pivotField showAll="0"/>
    <pivotField numFmtId="3" showAll="0"/>
    <pivotField showAll="0"/>
    <pivotField showAll="0"/>
    <pivotField dataField="1" showAll="0"/>
    <pivotField showAll="0">
      <items count="10">
        <item x="0"/>
        <item x="1"/>
        <item x="2"/>
        <item x="3"/>
        <item x="4"/>
        <item x="5"/>
        <item x="6"/>
        <item x="7"/>
        <item x="8"/>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3">
    <i>
      <x/>
    </i>
    <i>
      <x v="1"/>
    </i>
    <i t="grand">
      <x/>
    </i>
  </rowItems>
  <colItems count="1">
    <i/>
  </colItems>
  <dataFields count="1">
    <dataField name="Revenue &amp; Share" fld="10" showDataAs="percentOfCol" baseField="5" baseItem="0" numFmtId="10"/>
  </dataFields>
  <formats count="4">
    <format dxfId="60">
      <pivotArea outline="0" collapsedLevelsAreSubtotals="1" fieldPosition="0"/>
    </format>
    <format dxfId="59">
      <pivotArea collapsedLevelsAreSubtotals="1" fieldPosition="0">
        <references count="1">
          <reference field="5" count="0"/>
        </references>
      </pivotArea>
    </format>
    <format dxfId="58">
      <pivotArea grandRow="1" outline="0" collapsedLevelsAreSubtotals="1" fieldPosition="0"/>
    </format>
    <format dxfId="57">
      <pivotArea outline="0" fieldPosition="0">
        <references count="1">
          <reference field="4294967294" count="1">
            <x v="0"/>
          </reference>
        </references>
      </pivotArea>
    </format>
  </formats>
  <chartFormats count="3">
    <chartFormat chart="99" format="0" series="1">
      <pivotArea type="data" outline="0" fieldPosition="0">
        <references count="1">
          <reference field="4294967294" count="1" selected="0">
            <x v="0"/>
          </reference>
        </references>
      </pivotArea>
    </chartFormat>
    <chartFormat chart="99" format="1">
      <pivotArea type="data" outline="0" fieldPosition="0">
        <references count="2">
          <reference field="4294967294" count="1" selected="0">
            <x v="0"/>
          </reference>
          <reference field="5" count="1" selected="0">
            <x v="0"/>
          </reference>
        </references>
      </pivotArea>
    </chartFormat>
    <chartFormat chart="99" format="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78898FE-B12E-4FC2-AAAE-5A7335C39EF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A12:A13" firstHeaderRow="1" firstDataRow="1" firstDataCol="0"/>
  <pivotFields count="14">
    <pivotField dataField="1" showAll="0">
      <items count="45">
        <item x="16"/>
        <item x="3"/>
        <item x="19"/>
        <item x="4"/>
        <item x="15"/>
        <item x="12"/>
        <item x="10"/>
        <item x="39"/>
        <item x="20"/>
        <item x="37"/>
        <item x="30"/>
        <item x="31"/>
        <item x="9"/>
        <item x="38"/>
        <item x="17"/>
        <item x="21"/>
        <item x="36"/>
        <item x="34"/>
        <item x="25"/>
        <item x="26"/>
        <item x="43"/>
        <item x="33"/>
        <item x="22"/>
        <item x="5"/>
        <item x="23"/>
        <item x="35"/>
        <item x="13"/>
        <item x="0"/>
        <item x="28"/>
        <item x="32"/>
        <item x="24"/>
        <item x="42"/>
        <item x="27"/>
        <item x="8"/>
        <item x="40"/>
        <item x="11"/>
        <item x="29"/>
        <item x="14"/>
        <item x="18"/>
        <item x="6"/>
        <item x="1"/>
        <item x="41"/>
        <item x="7"/>
        <item x="2"/>
        <item t="default"/>
      </items>
    </pivotField>
    <pivotField numFmtId="164" showAll="0">
      <items count="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showAll="0"/>
    <pivotField showAll="0">
      <items count="6">
        <item x="4"/>
        <item x="0"/>
        <item x="2"/>
        <item x="3"/>
        <item x="1"/>
        <item t="default"/>
      </items>
    </pivotField>
    <pivotField showAll="0">
      <items count="7">
        <item x="5"/>
        <item x="0"/>
        <item x="1"/>
        <item x="2"/>
        <item x="4"/>
        <item x="3"/>
        <item t="default"/>
      </items>
    </pivotField>
    <pivotField showAll="0">
      <items count="3">
        <item x="0"/>
        <item x="1"/>
        <item t="default"/>
      </items>
    </pivotField>
    <pivotField showAll="0"/>
    <pivotField numFmtId="3"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Total Orde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7EA4CAF-7C94-426E-BB12-0E0F077A422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A3:A4" firstHeaderRow="1" firstDataRow="1" firstDataCol="0"/>
  <pivotFields count="14">
    <pivotField showAll="0">
      <items count="45">
        <item x="16"/>
        <item x="3"/>
        <item x="19"/>
        <item x="4"/>
        <item x="15"/>
        <item x="12"/>
        <item x="10"/>
        <item x="39"/>
        <item x="20"/>
        <item x="37"/>
        <item x="30"/>
        <item x="31"/>
        <item x="9"/>
        <item x="38"/>
        <item x="17"/>
        <item x="21"/>
        <item x="36"/>
        <item x="34"/>
        <item x="25"/>
        <item x="26"/>
        <item x="43"/>
        <item x="33"/>
        <item x="22"/>
        <item x="5"/>
        <item x="23"/>
        <item x="35"/>
        <item x="13"/>
        <item x="0"/>
        <item x="28"/>
        <item x="32"/>
        <item x="24"/>
        <item x="42"/>
        <item x="27"/>
        <item x="8"/>
        <item x="40"/>
        <item x="11"/>
        <item x="29"/>
        <item x="14"/>
        <item x="18"/>
        <item x="6"/>
        <item x="1"/>
        <item x="41"/>
        <item x="7"/>
        <item x="2"/>
        <item t="default"/>
      </items>
    </pivotField>
    <pivotField numFmtId="164" showAll="0">
      <items count="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showAll="0"/>
    <pivotField showAll="0">
      <items count="6">
        <item x="4"/>
        <item x="0"/>
        <item x="2"/>
        <item x="3"/>
        <item x="1"/>
        <item t="default"/>
      </items>
    </pivotField>
    <pivotField showAll="0">
      <items count="7">
        <item x="5"/>
        <item x="0"/>
        <item x="1"/>
        <item x="2"/>
        <item x="4"/>
        <item x="3"/>
        <item t="default"/>
      </items>
    </pivotField>
    <pivotField showAll="0">
      <items count="3">
        <item x="0"/>
        <item x="1"/>
        <item t="default"/>
      </items>
    </pivotField>
    <pivotField showAll="0"/>
    <pivotField numFmtId="3" showAll="0"/>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Total Revenue" fld="10" baseField="0" baseItem="0" numFmtId="165"/>
  </dataFields>
  <formats count="1">
    <format dxfId="6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6C9A629-772F-47FA-9639-8BF397BEA0F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A19:A20" firstHeaderRow="1" firstDataRow="1" firstDataCol="0"/>
  <pivotFields count="14">
    <pivotField showAll="0">
      <items count="45">
        <item x="16"/>
        <item x="3"/>
        <item x="19"/>
        <item x="4"/>
        <item x="15"/>
        <item x="12"/>
        <item x="10"/>
        <item x="39"/>
        <item x="20"/>
        <item x="37"/>
        <item x="30"/>
        <item x="31"/>
        <item x="9"/>
        <item x="38"/>
        <item x="17"/>
        <item x="21"/>
        <item x="36"/>
        <item x="34"/>
        <item x="25"/>
        <item x="26"/>
        <item x="43"/>
        <item x="33"/>
        <item x="22"/>
        <item x="5"/>
        <item x="23"/>
        <item x="35"/>
        <item x="13"/>
        <item x="0"/>
        <item x="28"/>
        <item x="32"/>
        <item x="24"/>
        <item x="42"/>
        <item x="27"/>
        <item x="8"/>
        <item x="40"/>
        <item x="11"/>
        <item x="29"/>
        <item x="14"/>
        <item x="18"/>
        <item x="6"/>
        <item x="1"/>
        <item x="41"/>
        <item x="7"/>
        <item x="2"/>
        <item t="default"/>
      </items>
    </pivotField>
    <pivotField numFmtId="164" showAll="0">
      <items count="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showAll="0"/>
    <pivotField showAll="0">
      <items count="6">
        <item x="4"/>
        <item x="0"/>
        <item x="2"/>
        <item x="3"/>
        <item x="1"/>
        <item t="default"/>
      </items>
    </pivotField>
    <pivotField showAll="0">
      <items count="7">
        <item x="5"/>
        <item x="0"/>
        <item x="1"/>
        <item x="2"/>
        <item x="4"/>
        <item x="3"/>
        <item t="default"/>
      </items>
    </pivotField>
    <pivotField showAll="0">
      <items count="3">
        <item x="0"/>
        <item x="1"/>
        <item t="default"/>
      </items>
    </pivotField>
    <pivotField showAll="0"/>
    <pivotField numFmtId="3" showAll="0"/>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Avg Order Value" fld="1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4D80455-35EE-4475-8E01-FBDB3F784D5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Product">
  <location ref="A22:B29" firstHeaderRow="1" firstDataRow="1" firstDataCol="1"/>
  <pivotFields count="14">
    <pivotField showAll="0">
      <items count="45">
        <item x="16"/>
        <item x="3"/>
        <item x="19"/>
        <item x="4"/>
        <item x="15"/>
        <item x="12"/>
        <item x="10"/>
        <item x="39"/>
        <item x="20"/>
        <item x="37"/>
        <item x="30"/>
        <item x="31"/>
        <item x="9"/>
        <item x="38"/>
        <item x="17"/>
        <item x="21"/>
        <item x="36"/>
        <item x="34"/>
        <item x="25"/>
        <item x="26"/>
        <item x="43"/>
        <item x="33"/>
        <item x="22"/>
        <item x="5"/>
        <item x="23"/>
        <item x="35"/>
        <item x="13"/>
        <item x="0"/>
        <item x="28"/>
        <item x="32"/>
        <item x="24"/>
        <item x="42"/>
        <item x="27"/>
        <item x="8"/>
        <item x="40"/>
        <item x="11"/>
        <item x="29"/>
        <item x="14"/>
        <item x="18"/>
        <item x="6"/>
        <item x="1"/>
        <item x="41"/>
        <item x="7"/>
        <item x="2"/>
        <item t="default"/>
      </items>
    </pivotField>
    <pivotField numFmtId="164" showAll="0">
      <items count="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showAll="0"/>
    <pivotField showAll="0">
      <items count="6">
        <item x="4"/>
        <item x="0"/>
        <item x="2"/>
        <item x="3"/>
        <item x="1"/>
        <item t="default"/>
      </items>
    </pivotField>
    <pivotField axis="axisRow" showAll="0">
      <items count="7">
        <item x="5"/>
        <item x="0"/>
        <item x="1"/>
        <item x="2"/>
        <item x="4"/>
        <item x="3"/>
        <item t="default"/>
      </items>
    </pivotField>
    <pivotField showAll="0">
      <items count="3">
        <item x="0"/>
        <item x="1"/>
        <item t="default"/>
      </items>
    </pivotField>
    <pivotField showAll="0"/>
    <pivotField numFmtId="3" showAll="0"/>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7">
    <i>
      <x/>
    </i>
    <i>
      <x v="1"/>
    </i>
    <i>
      <x v="2"/>
    </i>
    <i>
      <x v="3"/>
    </i>
    <i>
      <x v="4"/>
    </i>
    <i>
      <x v="5"/>
    </i>
    <i t="grand">
      <x/>
    </i>
  </rowItems>
  <colItems count="1">
    <i/>
  </colItems>
  <dataFields count="1">
    <dataField name="Total Revenue " fld="10" baseField="0" baseItem="0" numFmtId="166"/>
  </dataFields>
  <formats count="1">
    <format dxfId="62">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4"/>
          </reference>
        </references>
      </pivotArea>
    </chartFormat>
    <chartFormat chart="0" format="2">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F658C7B-93BB-4210-B9C7-83A4983AFAA6}"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2" rowHeaderCaption="Sale Rep">
  <location ref="A73:B78" firstHeaderRow="1" firstDataRow="1" firstDataCol="1"/>
  <pivotFields count="14">
    <pivotField dataField="1" showAll="0">
      <items count="45">
        <item x="16"/>
        <item x="3"/>
        <item x="19"/>
        <item x="4"/>
        <item x="15"/>
        <item x="12"/>
        <item x="10"/>
        <item x="39"/>
        <item x="20"/>
        <item x="37"/>
        <item x="30"/>
        <item x="31"/>
        <item x="9"/>
        <item x="38"/>
        <item x="17"/>
        <item x="21"/>
        <item x="36"/>
        <item x="34"/>
        <item x="25"/>
        <item x="26"/>
        <item x="43"/>
        <item x="33"/>
        <item x="22"/>
        <item x="5"/>
        <item x="23"/>
        <item x="35"/>
        <item x="13"/>
        <item x="0"/>
        <item x="28"/>
        <item x="32"/>
        <item x="24"/>
        <item x="42"/>
        <item x="27"/>
        <item x="8"/>
        <item x="40"/>
        <item x="11"/>
        <item x="29"/>
        <item x="14"/>
        <item x="18"/>
        <item x="6"/>
        <item x="1"/>
        <item x="41"/>
        <item x="7"/>
        <item x="2"/>
        <item t="default"/>
      </items>
    </pivotField>
    <pivotField numFmtId="164" showAll="0">
      <items count="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showAll="0"/>
    <pivotField showAll="0">
      <items count="6">
        <item x="4"/>
        <item x="0"/>
        <item x="2"/>
        <item x="3"/>
        <item x="1"/>
        <item t="default"/>
      </items>
    </pivotField>
    <pivotField showAll="0">
      <items count="7">
        <item x="5"/>
        <item x="0"/>
        <item x="1"/>
        <item x="2"/>
        <item x="4"/>
        <item x="3"/>
        <item t="default"/>
      </items>
    </pivotField>
    <pivotField showAll="0">
      <items count="3">
        <item x="0"/>
        <item x="1"/>
        <item t="default"/>
      </items>
    </pivotField>
    <pivotField showAll="0"/>
    <pivotField numFmtId="3" showAll="0"/>
    <pivotField showAll="0">
      <items count="5">
        <item x="1"/>
        <item x="0"/>
        <item x="2"/>
        <item x="3"/>
        <item t="default"/>
      </items>
    </pivotField>
    <pivotField axis="axisRow" showAll="0">
      <items count="5">
        <item x="3"/>
        <item x="2"/>
        <item x="0"/>
        <item x="1"/>
        <item t="default"/>
      </items>
    </pivotField>
    <pivotField showAll="0"/>
    <pivotField showAll="0">
      <items count="10">
        <item x="0"/>
        <item x="1"/>
        <item x="2"/>
        <item x="3"/>
        <item x="4"/>
        <item x="5"/>
        <item x="6"/>
        <item x="7"/>
        <item x="8"/>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5">
    <i>
      <x/>
    </i>
    <i>
      <x v="1"/>
    </i>
    <i>
      <x v="2"/>
    </i>
    <i>
      <x v="3"/>
    </i>
    <i t="grand">
      <x/>
    </i>
  </rowItems>
  <colItems count="1">
    <i/>
  </colItems>
  <dataFields count="1">
    <dataField name="Orders Sold" fld="0" subtotal="count" baseField="0" baseItem="0"/>
  </dataFields>
  <formats count="2">
    <format dxfId="64">
      <pivotArea grandRow="1" outline="0" collapsedLevelsAreSubtotals="1" fieldPosition="0"/>
    </format>
    <format dxfId="63">
      <pivotArea outline="0" collapsedLevelsAreSubtotals="1" fieldPosition="0"/>
    </format>
  </formats>
  <chartFormats count="1">
    <chartFormat chart="10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85A3373-B055-4038-BBD9-3723487B31A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2" rowHeaderCaption="Product">
  <location ref="A66:B71" firstHeaderRow="1" firstDataRow="1" firstDataCol="1"/>
  <pivotFields count="14">
    <pivotField showAll="0">
      <items count="45">
        <item x="16"/>
        <item x="3"/>
        <item x="19"/>
        <item x="4"/>
        <item x="15"/>
        <item x="12"/>
        <item x="10"/>
        <item x="39"/>
        <item x="20"/>
        <item x="37"/>
        <item x="30"/>
        <item x="31"/>
        <item x="9"/>
        <item x="38"/>
        <item x="17"/>
        <item x="21"/>
        <item x="36"/>
        <item x="34"/>
        <item x="25"/>
        <item x="26"/>
        <item x="43"/>
        <item x="33"/>
        <item x="22"/>
        <item x="5"/>
        <item x="23"/>
        <item x="35"/>
        <item x="13"/>
        <item x="0"/>
        <item x="28"/>
        <item x="32"/>
        <item x="24"/>
        <item x="42"/>
        <item x="27"/>
        <item x="8"/>
        <item x="40"/>
        <item x="11"/>
        <item x="29"/>
        <item x="14"/>
        <item x="18"/>
        <item x="6"/>
        <item x="1"/>
        <item x="41"/>
        <item x="7"/>
        <item x="2"/>
        <item t="default"/>
      </items>
    </pivotField>
    <pivotField numFmtId="164" showAll="0">
      <items count="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showAll="0"/>
    <pivotField showAll="0">
      <items count="6">
        <item x="4"/>
        <item x="0"/>
        <item x="2"/>
        <item x="3"/>
        <item x="1"/>
        <item t="default"/>
      </items>
    </pivotField>
    <pivotField showAll="0">
      <items count="7">
        <item x="5"/>
        <item x="0"/>
        <item x="1"/>
        <item x="2"/>
        <item x="4"/>
        <item x="3"/>
        <item t="default"/>
      </items>
    </pivotField>
    <pivotField showAll="0">
      <items count="3">
        <item x="0"/>
        <item x="1"/>
        <item t="default"/>
      </items>
    </pivotField>
    <pivotField showAll="0"/>
    <pivotField numFmtId="3" showAll="0"/>
    <pivotField axis="axisRow" showAll="0">
      <items count="5">
        <item x="1"/>
        <item x="0"/>
        <item x="2"/>
        <item x="3"/>
        <item t="default"/>
      </items>
    </pivotField>
    <pivotField showAll="0"/>
    <pivotField dataField="1" showAll="0"/>
    <pivotField showAll="0">
      <items count="10">
        <item x="0"/>
        <item x="1"/>
        <item x="2"/>
        <item x="3"/>
        <item x="4"/>
        <item x="5"/>
        <item x="6"/>
        <item x="7"/>
        <item x="8"/>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5">
    <i>
      <x/>
    </i>
    <i>
      <x v="1"/>
    </i>
    <i>
      <x v="2"/>
    </i>
    <i>
      <x v="3"/>
    </i>
    <i t="grand">
      <x/>
    </i>
  </rowItems>
  <colItems count="1">
    <i/>
  </colItems>
  <dataFields count="1">
    <dataField name="Total Revenue" fld="10" baseField="5" baseItem="0" numFmtId="166"/>
  </dataFields>
  <formats count="4">
    <format dxfId="68">
      <pivotArea grandRow="1" outline="0" collapsedLevelsAreSubtotals="1" fieldPosition="0"/>
    </format>
    <format dxfId="67">
      <pivotArea outline="0" fieldPosition="0">
        <references count="1">
          <reference field="4294967294" count="1">
            <x v="0"/>
          </reference>
        </references>
      </pivotArea>
    </format>
    <format dxfId="66">
      <pivotArea collapsedLevelsAreSubtotals="1" fieldPosition="0">
        <references count="1">
          <reference field="8" count="0"/>
        </references>
      </pivotArea>
    </format>
    <format dxfId="65">
      <pivotArea outline="0" collapsedLevelsAreSubtotals="1" fieldPosition="0"/>
    </format>
  </formats>
  <chartFormats count="2">
    <chartFormat chart="99" format="0" series="1">
      <pivotArea type="data" outline="0" fieldPosition="0">
        <references count="1">
          <reference field="4294967294" count="1" selected="0">
            <x v="0"/>
          </reference>
        </references>
      </pivotArea>
    </chartFormat>
    <chartFormat chart="10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9E048B3-B5A2-41C2-877D-FDDED760EAFC}" sourceName="Product">
  <pivotTables>
    <pivotTable tabId="2" name="PivotTable5"/>
    <pivotTable tabId="2" name="PivotTable1"/>
    <pivotTable tabId="2" name="PivotTable10"/>
    <pivotTable tabId="2" name="PivotTable11"/>
    <pivotTable tabId="2" name="PivotTable2"/>
    <pivotTable tabId="2" name="PivotTable3"/>
    <pivotTable tabId="2" name="PivotTable4"/>
    <pivotTable tabId="2" name="PivotTable6"/>
    <pivotTable tabId="2" name="PivotTable7"/>
    <pivotTable tabId="2" name="PivotTable8"/>
    <pivotTable tabId="2" name="PivotTable9"/>
  </pivotTables>
  <data>
    <tabular pivotCacheId="414136872">
      <items count="6">
        <i x="5" s="1"/>
        <i x="0" s="1"/>
        <i x="1" s="1"/>
        <i x="2"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C77F9B4-4D8B-49A1-8337-1A4E34A55443}" sourceName="City">
  <pivotTables>
    <pivotTable tabId="2" name="PivotTable1"/>
    <pivotTable tabId="2" name="PivotTable10"/>
    <pivotTable tabId="2" name="PivotTable11"/>
    <pivotTable tabId="2" name="PivotTable2"/>
    <pivotTable tabId="2" name="PivotTable3"/>
    <pivotTable tabId="2" name="PivotTable4"/>
    <pivotTable tabId="2" name="PivotTable6"/>
    <pivotTable tabId="2" name="PivotTable7"/>
    <pivotTable tabId="2" name="PivotTable8"/>
    <pivotTable tabId="2" name="PivotTable9"/>
  </pivotTables>
  <data>
    <tabular pivotCacheId="414136872">
      <items count="5">
        <i x="4" s="1"/>
        <i x="0"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FBE0AB9-4C2C-4002-BBC1-CA8FA8E136E2}" sourceName="Category">
  <pivotTables>
    <pivotTable tabId="2" name="PivotTable8"/>
    <pivotTable tabId="2" name="PivotTable1"/>
    <pivotTable tabId="2" name="PivotTable10"/>
    <pivotTable tabId="2" name="PivotTable11"/>
    <pivotTable tabId="2" name="PivotTable2"/>
    <pivotTable tabId="2" name="PivotTable3"/>
    <pivotTable tabId="2" name="PivotTable4"/>
    <pivotTable tabId="2" name="PivotTable5"/>
    <pivotTable tabId="2" name="PivotTable6"/>
    <pivotTable tabId="2" name="PivotTable7"/>
    <pivotTable tabId="2" name="PivotTable9"/>
  </pivotTables>
  <data>
    <tabular pivotCacheId="414136872">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08BAD9B7-9406-4D94-8667-A841C039BC78}" cache="Slicer_Product" caption="Product" columnCount="2" style="Slicer Style 1" rowHeight="274320"/>
  <slicer name="City" xr10:uid="{2F89A7D6-8F44-4824-B4AE-D1237EADA6DA}" cache="Slicer_City" caption="City" columnCount="2" style="Slicer Style 1" rowHeight="274320"/>
  <slicer name="Category" xr10:uid="{69E7E391-8024-409C-BE7E-D2BE7D0FF4B5}" cache="Slicer_Category" caption="Category" style="Slicer Style 1" rowHeight="27432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vmlDrawing" Target="../drawings/vmlDrawing1.v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comments" Target="../comments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2FD15-923B-4D95-AE55-9A71E00E583D}">
  <dimension ref="A1:L45"/>
  <sheetViews>
    <sheetView workbookViewId="0">
      <selection activeCell="E14" sqref="E14"/>
    </sheetView>
  </sheetViews>
  <sheetFormatPr defaultRowHeight="14.5" x14ac:dyDescent="0.35"/>
  <cols>
    <col min="1" max="1" width="12.81640625" customWidth="1"/>
    <col min="2" max="2" width="15.36328125" customWidth="1"/>
    <col min="3" max="3" width="14.7265625" customWidth="1"/>
    <col min="4" max="4" width="11.36328125" customWidth="1"/>
    <col min="5" max="5" width="14.54296875" customWidth="1"/>
    <col min="6" max="6" width="14.36328125" customWidth="1"/>
    <col min="8" max="8" width="13.81640625" customWidth="1"/>
    <col min="9" max="9" width="18.7265625" customWidth="1"/>
    <col min="10" max="10" width="14" customWidth="1"/>
    <col min="11" max="11" width="16" customWidth="1"/>
  </cols>
  <sheetData>
    <row r="1" spans="1:12" x14ac:dyDescent="0.35">
      <c r="A1" s="1" t="s">
        <v>0</v>
      </c>
      <c r="B1" s="1" t="s">
        <v>1</v>
      </c>
      <c r="C1" s="1" t="s">
        <v>2</v>
      </c>
      <c r="D1" s="1" t="s">
        <v>3</v>
      </c>
      <c r="E1" s="1" t="s">
        <v>4</v>
      </c>
      <c r="F1" s="1" t="s">
        <v>5</v>
      </c>
      <c r="G1" s="1" t="s">
        <v>6</v>
      </c>
      <c r="H1" s="1" t="s">
        <v>7</v>
      </c>
      <c r="I1" s="1" t="s">
        <v>8</v>
      </c>
      <c r="J1" s="1" t="s">
        <v>9</v>
      </c>
      <c r="K1" s="1" t="s">
        <v>10</v>
      </c>
      <c r="L1" s="1" t="s">
        <v>11</v>
      </c>
    </row>
    <row r="2" spans="1:12" x14ac:dyDescent="0.35">
      <c r="A2" t="s">
        <v>12</v>
      </c>
      <c r="B2" s="2">
        <v>46029</v>
      </c>
      <c r="C2" t="s">
        <v>13</v>
      </c>
      <c r="D2" t="s">
        <v>14</v>
      </c>
      <c r="E2" t="s">
        <v>15</v>
      </c>
      <c r="F2" t="s">
        <v>16</v>
      </c>
      <c r="G2">
        <v>2</v>
      </c>
      <c r="H2" s="3">
        <v>3500</v>
      </c>
      <c r="I2" t="s">
        <v>17</v>
      </c>
      <c r="J2" t="s">
        <v>18</v>
      </c>
      <c r="K2">
        <v>7000</v>
      </c>
      <c r="L2" t="s">
        <v>19</v>
      </c>
    </row>
    <row r="3" spans="1:12" x14ac:dyDescent="0.35">
      <c r="A3" t="s">
        <v>20</v>
      </c>
      <c r="B3" s="2">
        <v>46031</v>
      </c>
      <c r="C3" t="s">
        <v>21</v>
      </c>
      <c r="D3" t="s">
        <v>22</v>
      </c>
      <c r="E3" t="s">
        <v>23</v>
      </c>
      <c r="F3" t="s">
        <v>16</v>
      </c>
      <c r="G3">
        <v>5</v>
      </c>
      <c r="H3" s="3">
        <v>2500</v>
      </c>
      <c r="I3" t="s">
        <v>17</v>
      </c>
      <c r="J3" t="s">
        <v>24</v>
      </c>
      <c r="K3">
        <v>12500</v>
      </c>
      <c r="L3" t="s">
        <v>19</v>
      </c>
    </row>
    <row r="4" spans="1:12" x14ac:dyDescent="0.35">
      <c r="A4" t="s">
        <v>25</v>
      </c>
      <c r="B4" s="2">
        <v>46033</v>
      </c>
      <c r="C4" t="s">
        <v>13</v>
      </c>
      <c r="D4" t="s">
        <v>26</v>
      </c>
      <c r="E4" t="s">
        <v>15</v>
      </c>
      <c r="F4" t="s">
        <v>16</v>
      </c>
      <c r="G4">
        <v>5</v>
      </c>
      <c r="H4" s="3">
        <v>3500</v>
      </c>
      <c r="I4" t="s">
        <v>27</v>
      </c>
      <c r="J4" t="s">
        <v>18</v>
      </c>
      <c r="K4">
        <v>17500</v>
      </c>
      <c r="L4" t="s">
        <v>19</v>
      </c>
    </row>
    <row r="5" spans="1:12" x14ac:dyDescent="0.35">
      <c r="A5" t="s">
        <v>28</v>
      </c>
      <c r="B5" s="2">
        <v>46039</v>
      </c>
      <c r="C5" t="s">
        <v>21</v>
      </c>
      <c r="D5" t="s">
        <v>26</v>
      </c>
      <c r="E5" t="s">
        <v>15</v>
      </c>
      <c r="F5" t="s">
        <v>16</v>
      </c>
      <c r="G5">
        <v>1</v>
      </c>
      <c r="H5" s="3">
        <v>3500</v>
      </c>
      <c r="I5" t="s">
        <v>27</v>
      </c>
      <c r="J5" t="s">
        <v>29</v>
      </c>
      <c r="K5">
        <v>3500</v>
      </c>
      <c r="L5" t="s">
        <v>19</v>
      </c>
    </row>
    <row r="6" spans="1:12" x14ac:dyDescent="0.35">
      <c r="A6" t="s">
        <v>30</v>
      </c>
      <c r="B6" s="2">
        <v>46041</v>
      </c>
      <c r="C6" t="s">
        <v>31</v>
      </c>
      <c r="D6" t="s">
        <v>32</v>
      </c>
      <c r="E6" t="s">
        <v>23</v>
      </c>
      <c r="F6" t="s">
        <v>16</v>
      </c>
      <c r="G6">
        <v>1</v>
      </c>
      <c r="H6" s="3">
        <v>2500</v>
      </c>
      <c r="I6" t="s">
        <v>17</v>
      </c>
      <c r="J6" t="s">
        <v>18</v>
      </c>
      <c r="K6">
        <v>2500</v>
      </c>
      <c r="L6" t="s">
        <v>19</v>
      </c>
    </row>
    <row r="7" spans="1:12" x14ac:dyDescent="0.35">
      <c r="A7" t="s">
        <v>33</v>
      </c>
      <c r="B7" s="2">
        <v>46041</v>
      </c>
      <c r="C7" t="s">
        <v>34</v>
      </c>
      <c r="D7" t="s">
        <v>26</v>
      </c>
      <c r="E7" t="s">
        <v>35</v>
      </c>
      <c r="F7" t="s">
        <v>16</v>
      </c>
      <c r="G7">
        <v>1</v>
      </c>
      <c r="H7" s="3">
        <v>55000</v>
      </c>
      <c r="I7" t="s">
        <v>36</v>
      </c>
      <c r="J7" t="s">
        <v>18</v>
      </c>
      <c r="K7">
        <v>55000</v>
      </c>
      <c r="L7" t="s">
        <v>19</v>
      </c>
    </row>
    <row r="8" spans="1:12" x14ac:dyDescent="0.35">
      <c r="A8" t="s">
        <v>37</v>
      </c>
      <c r="B8" s="2">
        <v>46046</v>
      </c>
      <c r="C8" t="s">
        <v>38</v>
      </c>
      <c r="D8" t="s">
        <v>26</v>
      </c>
      <c r="E8" t="s">
        <v>35</v>
      </c>
      <c r="F8" t="s">
        <v>16</v>
      </c>
      <c r="G8">
        <v>2</v>
      </c>
      <c r="H8" s="3">
        <v>55000</v>
      </c>
      <c r="I8" t="s">
        <v>27</v>
      </c>
      <c r="J8" t="s">
        <v>39</v>
      </c>
      <c r="K8">
        <v>110000</v>
      </c>
      <c r="L8" t="s">
        <v>19</v>
      </c>
    </row>
    <row r="9" spans="1:12" x14ac:dyDescent="0.35">
      <c r="A9" t="s">
        <v>40</v>
      </c>
      <c r="B9" s="2">
        <v>46047</v>
      </c>
      <c r="C9" t="s">
        <v>34</v>
      </c>
      <c r="D9" t="s">
        <v>41</v>
      </c>
      <c r="E9" t="s">
        <v>23</v>
      </c>
      <c r="F9" t="s">
        <v>16</v>
      </c>
      <c r="G9">
        <v>2</v>
      </c>
      <c r="H9" s="3">
        <v>2500</v>
      </c>
      <c r="I9" t="s">
        <v>27</v>
      </c>
      <c r="J9" t="s">
        <v>18</v>
      </c>
      <c r="K9">
        <v>5000</v>
      </c>
      <c r="L9" t="s">
        <v>19</v>
      </c>
    </row>
    <row r="10" spans="1:12" x14ac:dyDescent="0.35">
      <c r="A10" t="s">
        <v>42</v>
      </c>
      <c r="B10" s="2">
        <v>46061</v>
      </c>
      <c r="C10" t="s">
        <v>38</v>
      </c>
      <c r="D10" t="s">
        <v>41</v>
      </c>
      <c r="E10" t="s">
        <v>43</v>
      </c>
      <c r="F10" t="s">
        <v>44</v>
      </c>
      <c r="G10">
        <v>3</v>
      </c>
      <c r="H10" s="3">
        <v>8500</v>
      </c>
      <c r="I10" t="s">
        <v>17</v>
      </c>
      <c r="J10" t="s">
        <v>24</v>
      </c>
      <c r="K10">
        <v>25500</v>
      </c>
      <c r="L10" t="s">
        <v>45</v>
      </c>
    </row>
    <row r="11" spans="1:12" x14ac:dyDescent="0.35">
      <c r="A11" t="s">
        <v>46</v>
      </c>
      <c r="B11" s="2">
        <v>46062</v>
      </c>
      <c r="C11" t="s">
        <v>47</v>
      </c>
      <c r="D11" t="s">
        <v>26</v>
      </c>
      <c r="E11" t="s">
        <v>35</v>
      </c>
      <c r="F11" t="s">
        <v>16</v>
      </c>
      <c r="G11">
        <v>1</v>
      </c>
      <c r="H11" s="3">
        <v>55000</v>
      </c>
      <c r="I11" t="s">
        <v>48</v>
      </c>
      <c r="J11" t="s">
        <v>24</v>
      </c>
      <c r="K11">
        <v>55000</v>
      </c>
      <c r="L11" t="s">
        <v>45</v>
      </c>
    </row>
    <row r="12" spans="1:12" x14ac:dyDescent="0.35">
      <c r="A12" t="s">
        <v>49</v>
      </c>
      <c r="B12" s="2">
        <v>46072</v>
      </c>
      <c r="C12" t="s">
        <v>50</v>
      </c>
      <c r="D12" t="s">
        <v>26</v>
      </c>
      <c r="E12" t="s">
        <v>15</v>
      </c>
      <c r="F12" t="s">
        <v>16</v>
      </c>
      <c r="G12">
        <v>2</v>
      </c>
      <c r="H12" s="3">
        <v>3500</v>
      </c>
      <c r="I12" t="s">
        <v>27</v>
      </c>
      <c r="J12" t="s">
        <v>29</v>
      </c>
      <c r="K12">
        <v>7000</v>
      </c>
      <c r="L12" t="s">
        <v>45</v>
      </c>
    </row>
    <row r="13" spans="1:12" x14ac:dyDescent="0.35">
      <c r="A13" t="s">
        <v>51</v>
      </c>
      <c r="B13" s="2">
        <v>46075</v>
      </c>
      <c r="C13" t="s">
        <v>38</v>
      </c>
      <c r="D13" t="s">
        <v>32</v>
      </c>
      <c r="E13" t="s">
        <v>52</v>
      </c>
      <c r="F13" t="s">
        <v>16</v>
      </c>
      <c r="G13">
        <v>2</v>
      </c>
      <c r="H13" s="3">
        <v>15000</v>
      </c>
      <c r="I13" t="s">
        <v>27</v>
      </c>
      <c r="J13" t="s">
        <v>39</v>
      </c>
      <c r="K13">
        <v>30000</v>
      </c>
      <c r="L13" t="s">
        <v>45</v>
      </c>
    </row>
    <row r="14" spans="1:12" x14ac:dyDescent="0.35">
      <c r="A14" t="s">
        <v>53</v>
      </c>
      <c r="B14" s="2">
        <v>46085</v>
      </c>
      <c r="C14" t="s">
        <v>31</v>
      </c>
      <c r="D14" t="s">
        <v>26</v>
      </c>
      <c r="E14" t="s">
        <v>15</v>
      </c>
      <c r="F14" t="s">
        <v>16</v>
      </c>
      <c r="G14">
        <v>2</v>
      </c>
      <c r="H14" s="3">
        <v>3500</v>
      </c>
      <c r="I14" t="s">
        <v>36</v>
      </c>
      <c r="J14" t="s">
        <v>18</v>
      </c>
      <c r="K14" s="4">
        <v>7000</v>
      </c>
      <c r="L14" t="s">
        <v>54</v>
      </c>
    </row>
    <row r="15" spans="1:12" x14ac:dyDescent="0.35">
      <c r="A15" t="s">
        <v>55</v>
      </c>
      <c r="B15" s="2">
        <v>46085</v>
      </c>
      <c r="C15" t="s">
        <v>56</v>
      </c>
      <c r="D15" t="s">
        <v>41</v>
      </c>
      <c r="E15" t="s">
        <v>35</v>
      </c>
      <c r="F15" t="s">
        <v>16</v>
      </c>
      <c r="G15">
        <v>3</v>
      </c>
      <c r="H15" s="3">
        <v>55000</v>
      </c>
      <c r="I15" t="s">
        <v>27</v>
      </c>
      <c r="J15" t="s">
        <v>39</v>
      </c>
      <c r="K15" s="4">
        <v>165000</v>
      </c>
      <c r="L15" t="s">
        <v>54</v>
      </c>
    </row>
    <row r="16" spans="1:12" x14ac:dyDescent="0.35">
      <c r="A16" t="s">
        <v>57</v>
      </c>
      <c r="B16" s="2">
        <v>46087</v>
      </c>
      <c r="C16" t="s">
        <v>34</v>
      </c>
      <c r="D16" t="s">
        <v>26</v>
      </c>
      <c r="E16" t="s">
        <v>52</v>
      </c>
      <c r="F16" t="s">
        <v>16</v>
      </c>
      <c r="G16">
        <v>2</v>
      </c>
      <c r="H16" s="3">
        <v>15000</v>
      </c>
      <c r="I16" t="s">
        <v>48</v>
      </c>
      <c r="J16" t="s">
        <v>29</v>
      </c>
      <c r="K16" s="4">
        <v>30000</v>
      </c>
      <c r="L16" t="s">
        <v>54</v>
      </c>
    </row>
    <row r="17" spans="1:12" x14ac:dyDescent="0.35">
      <c r="A17" t="s">
        <v>58</v>
      </c>
      <c r="B17" s="2">
        <v>46091</v>
      </c>
      <c r="C17" t="s">
        <v>22</v>
      </c>
      <c r="D17" t="s">
        <v>41</v>
      </c>
      <c r="E17" t="s">
        <v>15</v>
      </c>
      <c r="F17" t="s">
        <v>16</v>
      </c>
      <c r="G17">
        <v>5</v>
      </c>
      <c r="H17" s="3">
        <v>3500</v>
      </c>
      <c r="I17" t="s">
        <v>48</v>
      </c>
      <c r="J17" t="s">
        <v>24</v>
      </c>
      <c r="K17" s="4">
        <v>17500</v>
      </c>
      <c r="L17" t="s">
        <v>54</v>
      </c>
    </row>
    <row r="18" spans="1:12" x14ac:dyDescent="0.35">
      <c r="A18" t="s">
        <v>59</v>
      </c>
      <c r="B18" s="2">
        <v>46094</v>
      </c>
      <c r="C18" t="s">
        <v>50</v>
      </c>
      <c r="D18" t="s">
        <v>26</v>
      </c>
      <c r="E18" t="s">
        <v>43</v>
      </c>
      <c r="F18" t="s">
        <v>44</v>
      </c>
      <c r="G18">
        <v>5</v>
      </c>
      <c r="H18" s="3">
        <v>8500</v>
      </c>
      <c r="I18" t="s">
        <v>48</v>
      </c>
      <c r="J18" t="s">
        <v>24</v>
      </c>
      <c r="K18" s="4">
        <v>42500</v>
      </c>
      <c r="L18" t="s">
        <v>54</v>
      </c>
    </row>
    <row r="19" spans="1:12" x14ac:dyDescent="0.35">
      <c r="A19" t="s">
        <v>60</v>
      </c>
      <c r="B19" s="2">
        <v>46101</v>
      </c>
      <c r="C19" t="s">
        <v>38</v>
      </c>
      <c r="D19" t="s">
        <v>32</v>
      </c>
      <c r="E19" t="s">
        <v>43</v>
      </c>
      <c r="F19" t="s">
        <v>44</v>
      </c>
      <c r="G19">
        <v>1</v>
      </c>
      <c r="H19" s="3">
        <v>8500</v>
      </c>
      <c r="I19" t="s">
        <v>17</v>
      </c>
      <c r="J19" t="s">
        <v>24</v>
      </c>
      <c r="K19" s="4">
        <v>8500</v>
      </c>
      <c r="L19" t="s">
        <v>54</v>
      </c>
    </row>
    <row r="20" spans="1:12" x14ac:dyDescent="0.35">
      <c r="A20" t="s">
        <v>61</v>
      </c>
      <c r="B20" s="2">
        <v>46101</v>
      </c>
      <c r="C20" t="s">
        <v>31</v>
      </c>
      <c r="D20" t="s">
        <v>32</v>
      </c>
      <c r="E20" t="s">
        <v>52</v>
      </c>
      <c r="F20" t="s">
        <v>16</v>
      </c>
      <c r="G20">
        <v>3</v>
      </c>
      <c r="H20" s="3">
        <v>15000</v>
      </c>
      <c r="I20" t="s">
        <v>17</v>
      </c>
      <c r="J20" t="s">
        <v>39</v>
      </c>
      <c r="K20" s="4">
        <v>45000</v>
      </c>
      <c r="L20" t="s">
        <v>54</v>
      </c>
    </row>
    <row r="21" spans="1:12" x14ac:dyDescent="0.35">
      <c r="A21" t="s">
        <v>62</v>
      </c>
      <c r="B21" s="2">
        <v>46115</v>
      </c>
      <c r="C21" t="s">
        <v>13</v>
      </c>
      <c r="D21" t="s">
        <v>32</v>
      </c>
      <c r="E21" t="s">
        <v>35</v>
      </c>
      <c r="F21" t="s">
        <v>16</v>
      </c>
      <c r="G21">
        <v>1</v>
      </c>
      <c r="H21" s="3">
        <v>55000</v>
      </c>
      <c r="I21" t="s">
        <v>48</v>
      </c>
      <c r="J21" t="s">
        <v>18</v>
      </c>
      <c r="K21" s="4">
        <v>55000</v>
      </c>
      <c r="L21" t="s">
        <v>63</v>
      </c>
    </row>
    <row r="22" spans="1:12" x14ac:dyDescent="0.35">
      <c r="A22" t="s">
        <v>64</v>
      </c>
      <c r="B22" s="2">
        <v>46115</v>
      </c>
      <c r="C22" t="s">
        <v>31</v>
      </c>
      <c r="D22" t="s">
        <v>14</v>
      </c>
      <c r="E22" t="s">
        <v>52</v>
      </c>
      <c r="F22" t="s">
        <v>16</v>
      </c>
      <c r="G22">
        <v>3</v>
      </c>
      <c r="H22" s="3">
        <v>15000</v>
      </c>
      <c r="I22" t="s">
        <v>27</v>
      </c>
      <c r="J22" t="s">
        <v>24</v>
      </c>
      <c r="K22" s="4">
        <v>45000</v>
      </c>
      <c r="L22" t="s">
        <v>63</v>
      </c>
    </row>
    <row r="23" spans="1:12" x14ac:dyDescent="0.35">
      <c r="A23" t="s">
        <v>65</v>
      </c>
      <c r="B23" s="2">
        <v>46125</v>
      </c>
      <c r="C23" t="s">
        <v>66</v>
      </c>
      <c r="D23" t="s">
        <v>41</v>
      </c>
      <c r="E23" t="s">
        <v>23</v>
      </c>
      <c r="F23" t="s">
        <v>16</v>
      </c>
      <c r="G23">
        <v>3</v>
      </c>
      <c r="H23" s="3">
        <v>2500</v>
      </c>
      <c r="I23" t="s">
        <v>48</v>
      </c>
      <c r="J23" t="s">
        <v>39</v>
      </c>
      <c r="K23" s="4">
        <v>7500</v>
      </c>
      <c r="L23" t="s">
        <v>63</v>
      </c>
    </row>
    <row r="24" spans="1:12" x14ac:dyDescent="0.35">
      <c r="A24" t="s">
        <v>67</v>
      </c>
      <c r="B24" s="2">
        <v>46127</v>
      </c>
      <c r="C24" t="s">
        <v>34</v>
      </c>
      <c r="D24" t="s">
        <v>26</v>
      </c>
      <c r="E24" t="s">
        <v>35</v>
      </c>
      <c r="F24" t="s">
        <v>16</v>
      </c>
      <c r="G24">
        <v>3</v>
      </c>
      <c r="H24" s="3">
        <v>55000</v>
      </c>
      <c r="I24" t="s">
        <v>48</v>
      </c>
      <c r="J24" t="s">
        <v>18</v>
      </c>
      <c r="K24" s="4">
        <v>165000</v>
      </c>
      <c r="L24" t="s">
        <v>63</v>
      </c>
    </row>
    <row r="25" spans="1:12" x14ac:dyDescent="0.35">
      <c r="A25" t="s">
        <v>68</v>
      </c>
      <c r="B25" s="2">
        <v>46132</v>
      </c>
      <c r="C25" t="s">
        <v>66</v>
      </c>
      <c r="D25" t="s">
        <v>41</v>
      </c>
      <c r="E25" t="s">
        <v>35</v>
      </c>
      <c r="F25" t="s">
        <v>16</v>
      </c>
      <c r="G25">
        <v>3</v>
      </c>
      <c r="H25" s="3">
        <v>55000</v>
      </c>
      <c r="I25" t="s">
        <v>36</v>
      </c>
      <c r="J25" t="s">
        <v>24</v>
      </c>
      <c r="K25" s="4">
        <v>165000</v>
      </c>
      <c r="L25" t="s">
        <v>63</v>
      </c>
    </row>
    <row r="26" spans="1:12" x14ac:dyDescent="0.35">
      <c r="A26" t="s">
        <v>69</v>
      </c>
      <c r="B26" s="2">
        <v>46132</v>
      </c>
      <c r="C26" t="s">
        <v>21</v>
      </c>
      <c r="D26" t="s">
        <v>14</v>
      </c>
      <c r="E26" t="s">
        <v>52</v>
      </c>
      <c r="F26" t="s">
        <v>16</v>
      </c>
      <c r="G26">
        <v>2</v>
      </c>
      <c r="H26" s="3">
        <v>15000</v>
      </c>
      <c r="I26" t="s">
        <v>27</v>
      </c>
      <c r="J26" t="s">
        <v>39</v>
      </c>
      <c r="K26" s="4">
        <v>30000</v>
      </c>
      <c r="L26" t="s">
        <v>63</v>
      </c>
    </row>
    <row r="27" spans="1:12" x14ac:dyDescent="0.35">
      <c r="A27" t="s">
        <v>70</v>
      </c>
      <c r="B27" s="2">
        <v>46134</v>
      </c>
      <c r="C27" t="s">
        <v>21</v>
      </c>
      <c r="D27" t="s">
        <v>26</v>
      </c>
      <c r="E27" t="s">
        <v>35</v>
      </c>
      <c r="F27" t="s">
        <v>16</v>
      </c>
      <c r="G27">
        <v>4</v>
      </c>
      <c r="H27" s="3">
        <v>2500</v>
      </c>
      <c r="I27" t="s">
        <v>48</v>
      </c>
      <c r="J27" t="s">
        <v>39</v>
      </c>
      <c r="K27" s="4">
        <v>10000</v>
      </c>
      <c r="L27" t="s">
        <v>63</v>
      </c>
    </row>
    <row r="28" spans="1:12" x14ac:dyDescent="0.35">
      <c r="A28" t="s">
        <v>71</v>
      </c>
      <c r="B28" s="2">
        <v>46143</v>
      </c>
      <c r="C28" t="s">
        <v>34</v>
      </c>
      <c r="D28" t="s">
        <v>32</v>
      </c>
      <c r="E28" t="s">
        <v>43</v>
      </c>
      <c r="F28" t="s">
        <v>44</v>
      </c>
      <c r="G28">
        <v>5</v>
      </c>
      <c r="H28" s="3">
        <v>8500</v>
      </c>
      <c r="I28" t="s">
        <v>36</v>
      </c>
      <c r="J28" t="s">
        <v>24</v>
      </c>
      <c r="K28" s="4">
        <v>42500</v>
      </c>
      <c r="L28" t="s">
        <v>72</v>
      </c>
    </row>
    <row r="29" spans="1:12" x14ac:dyDescent="0.35">
      <c r="A29" t="s">
        <v>73</v>
      </c>
      <c r="B29" s="2">
        <v>46149</v>
      </c>
      <c r="C29" t="s">
        <v>31</v>
      </c>
      <c r="D29" t="s">
        <v>14</v>
      </c>
      <c r="E29" t="s">
        <v>74</v>
      </c>
      <c r="F29" t="s">
        <v>44</v>
      </c>
      <c r="G29">
        <v>4</v>
      </c>
      <c r="H29" s="3">
        <v>12000</v>
      </c>
      <c r="I29" t="s">
        <v>17</v>
      </c>
      <c r="J29" t="s">
        <v>24</v>
      </c>
      <c r="K29" s="4">
        <v>48000</v>
      </c>
      <c r="L29" t="s">
        <v>72</v>
      </c>
    </row>
    <row r="30" spans="1:12" x14ac:dyDescent="0.35">
      <c r="A30" t="s">
        <v>75</v>
      </c>
      <c r="B30" s="2">
        <v>46163</v>
      </c>
      <c r="C30" t="s">
        <v>38</v>
      </c>
      <c r="D30" t="s">
        <v>41</v>
      </c>
      <c r="E30" t="s">
        <v>15</v>
      </c>
      <c r="F30" t="s">
        <v>16</v>
      </c>
      <c r="G30">
        <v>3</v>
      </c>
      <c r="H30" s="3">
        <v>3500</v>
      </c>
      <c r="I30" t="s">
        <v>48</v>
      </c>
      <c r="J30" t="s">
        <v>24</v>
      </c>
      <c r="K30" s="4">
        <v>10500</v>
      </c>
      <c r="L30" t="s">
        <v>72</v>
      </c>
    </row>
    <row r="31" spans="1:12" x14ac:dyDescent="0.35">
      <c r="A31" t="s">
        <v>76</v>
      </c>
      <c r="B31" s="2">
        <v>46176</v>
      </c>
      <c r="C31" t="s">
        <v>38</v>
      </c>
      <c r="D31" t="s">
        <v>32</v>
      </c>
      <c r="E31" t="s">
        <v>74</v>
      </c>
      <c r="F31" t="s">
        <v>44</v>
      </c>
      <c r="G31">
        <v>4</v>
      </c>
      <c r="H31" s="3">
        <v>12000</v>
      </c>
      <c r="I31" t="s">
        <v>17</v>
      </c>
      <c r="J31" t="s">
        <v>18</v>
      </c>
      <c r="K31" s="4">
        <v>48000</v>
      </c>
      <c r="L31" t="s">
        <v>77</v>
      </c>
    </row>
    <row r="32" spans="1:12" x14ac:dyDescent="0.35">
      <c r="A32" t="s">
        <v>78</v>
      </c>
      <c r="B32" s="2">
        <v>46178</v>
      </c>
      <c r="C32" t="s">
        <v>47</v>
      </c>
      <c r="D32" t="s">
        <v>32</v>
      </c>
      <c r="E32" t="s">
        <v>23</v>
      </c>
      <c r="F32" t="s">
        <v>16</v>
      </c>
      <c r="G32">
        <v>1</v>
      </c>
      <c r="H32" s="3">
        <v>2500</v>
      </c>
      <c r="I32" t="s">
        <v>17</v>
      </c>
      <c r="J32" t="s">
        <v>18</v>
      </c>
      <c r="K32" s="4">
        <v>2500</v>
      </c>
      <c r="L32" t="s">
        <v>77</v>
      </c>
    </row>
    <row r="33" spans="1:12" x14ac:dyDescent="0.35">
      <c r="A33" t="s">
        <v>79</v>
      </c>
      <c r="B33" s="2">
        <v>46184</v>
      </c>
      <c r="C33" t="s">
        <v>56</v>
      </c>
      <c r="D33" t="s">
        <v>26</v>
      </c>
      <c r="E33" t="s">
        <v>15</v>
      </c>
      <c r="F33" t="s">
        <v>16</v>
      </c>
      <c r="G33">
        <v>4</v>
      </c>
      <c r="H33" s="3">
        <v>3500</v>
      </c>
      <c r="I33" t="s">
        <v>48</v>
      </c>
      <c r="J33" t="s">
        <v>29</v>
      </c>
      <c r="K33" s="4">
        <v>14000</v>
      </c>
      <c r="L33" t="s">
        <v>77</v>
      </c>
    </row>
    <row r="34" spans="1:12" x14ac:dyDescent="0.35">
      <c r="A34" t="s">
        <v>80</v>
      </c>
      <c r="B34" s="2">
        <v>46198</v>
      </c>
      <c r="C34" t="s">
        <v>21</v>
      </c>
      <c r="D34" t="s">
        <v>26</v>
      </c>
      <c r="E34" t="s">
        <v>23</v>
      </c>
      <c r="F34" t="s">
        <v>16</v>
      </c>
      <c r="G34">
        <v>5</v>
      </c>
      <c r="H34" s="3">
        <v>15000</v>
      </c>
      <c r="I34" t="s">
        <v>48</v>
      </c>
      <c r="J34" t="s">
        <v>24</v>
      </c>
      <c r="K34" s="4">
        <v>75000</v>
      </c>
      <c r="L34" t="s">
        <v>77</v>
      </c>
    </row>
    <row r="35" spans="1:12" x14ac:dyDescent="0.35">
      <c r="A35" t="s">
        <v>81</v>
      </c>
      <c r="B35" s="2">
        <v>46207</v>
      </c>
      <c r="C35" t="s">
        <v>47</v>
      </c>
      <c r="D35" t="s">
        <v>41</v>
      </c>
      <c r="E35" t="s">
        <v>74</v>
      </c>
      <c r="F35" t="s">
        <v>44</v>
      </c>
      <c r="G35">
        <v>4</v>
      </c>
      <c r="H35" s="3">
        <v>12000</v>
      </c>
      <c r="I35" t="s">
        <v>48</v>
      </c>
      <c r="J35" t="s">
        <v>39</v>
      </c>
      <c r="K35" s="4">
        <v>48000</v>
      </c>
      <c r="L35" t="s">
        <v>82</v>
      </c>
    </row>
    <row r="36" spans="1:12" x14ac:dyDescent="0.35">
      <c r="A36" t="s">
        <v>83</v>
      </c>
      <c r="B36" s="2">
        <v>46215</v>
      </c>
      <c r="C36" t="s">
        <v>66</v>
      </c>
      <c r="D36" t="s">
        <v>41</v>
      </c>
      <c r="E36" t="s">
        <v>52</v>
      </c>
      <c r="F36" t="s">
        <v>16</v>
      </c>
      <c r="G36">
        <v>2</v>
      </c>
      <c r="H36" s="3">
        <v>15000</v>
      </c>
      <c r="I36" t="s">
        <v>48</v>
      </c>
      <c r="J36" t="s">
        <v>39</v>
      </c>
      <c r="K36" s="4">
        <v>30000</v>
      </c>
      <c r="L36" t="s">
        <v>82</v>
      </c>
    </row>
    <row r="37" spans="1:12" x14ac:dyDescent="0.35">
      <c r="A37" t="s">
        <v>84</v>
      </c>
      <c r="B37" s="2">
        <v>46218</v>
      </c>
      <c r="C37" t="s">
        <v>47</v>
      </c>
      <c r="D37" t="s">
        <v>32</v>
      </c>
      <c r="E37" t="s">
        <v>74</v>
      </c>
      <c r="F37" t="s">
        <v>44</v>
      </c>
      <c r="G37">
        <v>4</v>
      </c>
      <c r="H37" s="3">
        <v>12000</v>
      </c>
      <c r="I37" t="s">
        <v>27</v>
      </c>
      <c r="J37" t="s">
        <v>24</v>
      </c>
      <c r="K37" s="4">
        <v>48000</v>
      </c>
      <c r="L37" t="s">
        <v>82</v>
      </c>
    </row>
    <row r="38" spans="1:12" x14ac:dyDescent="0.35">
      <c r="A38" t="s">
        <v>85</v>
      </c>
      <c r="B38" s="2">
        <v>46221</v>
      </c>
      <c r="C38" t="s">
        <v>86</v>
      </c>
      <c r="D38" t="s">
        <v>41</v>
      </c>
      <c r="E38" t="s">
        <v>74</v>
      </c>
      <c r="F38" t="s">
        <v>44</v>
      </c>
      <c r="G38">
        <v>4</v>
      </c>
      <c r="H38" s="3">
        <v>12000</v>
      </c>
      <c r="I38" t="s">
        <v>48</v>
      </c>
      <c r="J38" t="s">
        <v>24</v>
      </c>
      <c r="K38" s="4">
        <v>48000</v>
      </c>
      <c r="L38" t="s">
        <v>82</v>
      </c>
    </row>
    <row r="39" spans="1:12" x14ac:dyDescent="0.35">
      <c r="A39" t="s">
        <v>87</v>
      </c>
      <c r="B39" s="2">
        <v>46244</v>
      </c>
      <c r="C39" t="s">
        <v>31</v>
      </c>
      <c r="D39" t="s">
        <v>26</v>
      </c>
      <c r="E39" t="s">
        <v>52</v>
      </c>
      <c r="F39" t="s">
        <v>16</v>
      </c>
      <c r="G39">
        <v>1</v>
      </c>
      <c r="H39" s="3">
        <v>15000</v>
      </c>
      <c r="I39" t="s">
        <v>48</v>
      </c>
      <c r="J39" t="s">
        <v>29</v>
      </c>
      <c r="K39" s="4">
        <v>15000</v>
      </c>
      <c r="L39" t="s">
        <v>88</v>
      </c>
    </row>
    <row r="40" spans="1:12" x14ac:dyDescent="0.35">
      <c r="A40" t="s">
        <v>89</v>
      </c>
      <c r="B40" s="2">
        <v>46244</v>
      </c>
      <c r="C40" t="s">
        <v>66</v>
      </c>
      <c r="D40" t="s">
        <v>41</v>
      </c>
      <c r="E40" t="s">
        <v>52</v>
      </c>
      <c r="F40" t="s">
        <v>16</v>
      </c>
      <c r="G40">
        <v>3</v>
      </c>
      <c r="H40" s="3">
        <v>15000</v>
      </c>
      <c r="I40" t="s">
        <v>48</v>
      </c>
      <c r="J40" t="s">
        <v>29</v>
      </c>
      <c r="K40" s="4">
        <v>45000</v>
      </c>
      <c r="L40" t="s">
        <v>88</v>
      </c>
    </row>
    <row r="41" spans="1:12" x14ac:dyDescent="0.35">
      <c r="A41" t="s">
        <v>90</v>
      </c>
      <c r="B41" s="2">
        <v>46253</v>
      </c>
      <c r="C41" t="s">
        <v>47</v>
      </c>
      <c r="D41" t="s">
        <v>14</v>
      </c>
      <c r="E41" t="s">
        <v>43</v>
      </c>
      <c r="F41" t="s">
        <v>44</v>
      </c>
      <c r="G41">
        <v>3</v>
      </c>
      <c r="H41" s="3">
        <v>8500</v>
      </c>
      <c r="I41" t="s">
        <v>17</v>
      </c>
      <c r="J41" t="s">
        <v>39</v>
      </c>
      <c r="K41" s="4">
        <v>25500</v>
      </c>
      <c r="L41" t="s">
        <v>88</v>
      </c>
    </row>
    <row r="42" spans="1:12" x14ac:dyDescent="0.35">
      <c r="A42" t="s">
        <v>91</v>
      </c>
      <c r="B42" s="2">
        <v>46254</v>
      </c>
      <c r="C42" t="s">
        <v>31</v>
      </c>
      <c r="D42" t="s">
        <v>14</v>
      </c>
      <c r="E42" t="s">
        <v>23</v>
      </c>
      <c r="F42" t="s">
        <v>16</v>
      </c>
      <c r="G42">
        <v>1</v>
      </c>
      <c r="H42" s="3">
        <v>2500</v>
      </c>
      <c r="I42" t="s">
        <v>27</v>
      </c>
      <c r="J42" t="s">
        <v>24</v>
      </c>
      <c r="K42" s="4">
        <v>2500</v>
      </c>
      <c r="L42" t="s">
        <v>88</v>
      </c>
    </row>
    <row r="43" spans="1:12" x14ac:dyDescent="0.35">
      <c r="A43" t="s">
        <v>92</v>
      </c>
      <c r="B43" s="2">
        <v>46279</v>
      </c>
      <c r="C43" t="s">
        <v>34</v>
      </c>
      <c r="D43" t="s">
        <v>26</v>
      </c>
      <c r="E43" t="s">
        <v>43</v>
      </c>
      <c r="F43" t="s">
        <v>44</v>
      </c>
      <c r="G43">
        <v>3</v>
      </c>
      <c r="H43" s="3">
        <v>8500</v>
      </c>
      <c r="I43" t="s">
        <v>27</v>
      </c>
      <c r="J43" t="s">
        <v>29</v>
      </c>
      <c r="K43" s="4">
        <v>25500</v>
      </c>
      <c r="L43" t="s">
        <v>93</v>
      </c>
    </row>
    <row r="44" spans="1:12" x14ac:dyDescent="0.35">
      <c r="A44" t="s">
        <v>94</v>
      </c>
      <c r="B44" s="2">
        <v>46281</v>
      </c>
      <c r="C44" t="s">
        <v>56</v>
      </c>
      <c r="D44" t="s">
        <v>41</v>
      </c>
      <c r="E44" t="s">
        <v>23</v>
      </c>
      <c r="F44" t="s">
        <v>16</v>
      </c>
      <c r="G44">
        <v>1</v>
      </c>
      <c r="H44" s="3">
        <v>2500</v>
      </c>
      <c r="I44" t="s">
        <v>48</v>
      </c>
      <c r="J44" t="s">
        <v>24</v>
      </c>
      <c r="K44" s="4">
        <v>2500</v>
      </c>
      <c r="L44" t="s">
        <v>93</v>
      </c>
    </row>
    <row r="45" spans="1:12" x14ac:dyDescent="0.35">
      <c r="A45" t="s">
        <v>95</v>
      </c>
      <c r="B45" s="2">
        <v>46285</v>
      </c>
      <c r="C45" t="s">
        <v>50</v>
      </c>
      <c r="D45" t="s">
        <v>32</v>
      </c>
      <c r="E45" t="s">
        <v>23</v>
      </c>
      <c r="F45" t="s">
        <v>16</v>
      </c>
      <c r="G45">
        <v>5</v>
      </c>
      <c r="H45" s="3">
        <v>2500</v>
      </c>
      <c r="I45" t="s">
        <v>27</v>
      </c>
      <c r="J45" t="s">
        <v>29</v>
      </c>
      <c r="K45" s="4">
        <v>12500</v>
      </c>
      <c r="L45" t="s">
        <v>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F2151-8997-4127-B16E-3CFC2C6AF89D}">
  <dimension ref="A3:AK78"/>
  <sheetViews>
    <sheetView showGridLines="0" tabSelected="1" topLeftCell="D1" zoomScale="70" zoomScaleNormal="70" workbookViewId="0">
      <selection activeCell="H46" sqref="H46"/>
    </sheetView>
  </sheetViews>
  <sheetFormatPr defaultRowHeight="14.5" x14ac:dyDescent="0.35"/>
  <cols>
    <col min="1" max="1" width="16.54296875" bestFit="1" customWidth="1"/>
    <col min="2" max="2" width="12.7265625" bestFit="1" customWidth="1"/>
    <col min="3" max="3" width="8.6328125" bestFit="1" customWidth="1"/>
  </cols>
  <sheetData>
    <row r="3" spans="1:8" x14ac:dyDescent="0.35">
      <c r="A3" t="s">
        <v>100</v>
      </c>
    </row>
    <row r="4" spans="1:8" x14ac:dyDescent="0.35">
      <c r="A4" s="10">
        <v>1666500</v>
      </c>
    </row>
    <row r="12" spans="1:8" x14ac:dyDescent="0.35">
      <c r="A12" t="s">
        <v>101</v>
      </c>
    </row>
    <row r="13" spans="1:8" x14ac:dyDescent="0.35">
      <c r="A13" s="12">
        <v>44</v>
      </c>
    </row>
    <row r="16" spans="1:8" ht="15.5" x14ac:dyDescent="0.35">
      <c r="A16" t="s">
        <v>103</v>
      </c>
      <c r="H16" s="7"/>
    </row>
    <row r="17" spans="1:29" x14ac:dyDescent="0.35">
      <c r="A17" s="12">
        <v>124</v>
      </c>
    </row>
    <row r="19" spans="1:29" x14ac:dyDescent="0.35">
      <c r="A19" t="s">
        <v>102</v>
      </c>
      <c r="AC19" t="s">
        <v>99</v>
      </c>
    </row>
    <row r="20" spans="1:29" x14ac:dyDescent="0.35">
      <c r="A20" s="12">
        <v>37875</v>
      </c>
    </row>
    <row r="22" spans="1:29" x14ac:dyDescent="0.35">
      <c r="A22" s="5" t="s">
        <v>4</v>
      </c>
      <c r="B22" t="s">
        <v>104</v>
      </c>
    </row>
    <row r="23" spans="1:29" x14ac:dyDescent="0.35">
      <c r="A23" s="6" t="s">
        <v>74</v>
      </c>
      <c r="B23" s="8">
        <v>240000</v>
      </c>
    </row>
    <row r="24" spans="1:29" x14ac:dyDescent="0.35">
      <c r="A24" s="6" t="s">
        <v>15</v>
      </c>
      <c r="B24" s="8">
        <v>84000</v>
      </c>
    </row>
    <row r="25" spans="1:29" x14ac:dyDescent="0.35">
      <c r="A25" s="6" t="s">
        <v>23</v>
      </c>
      <c r="B25" s="8">
        <v>122500</v>
      </c>
    </row>
    <row r="26" spans="1:29" x14ac:dyDescent="0.35">
      <c r="A26" s="6" t="s">
        <v>35</v>
      </c>
      <c r="B26" s="8">
        <v>780000</v>
      </c>
    </row>
    <row r="27" spans="1:29" x14ac:dyDescent="0.35">
      <c r="A27" s="6" t="s">
        <v>52</v>
      </c>
      <c r="B27" s="8">
        <v>270000</v>
      </c>
    </row>
    <row r="28" spans="1:29" x14ac:dyDescent="0.35">
      <c r="A28" s="6" t="s">
        <v>43</v>
      </c>
      <c r="B28" s="8">
        <v>170000</v>
      </c>
    </row>
    <row r="29" spans="1:29" x14ac:dyDescent="0.35">
      <c r="A29" s="6" t="s">
        <v>96</v>
      </c>
      <c r="B29" s="8">
        <v>1666500</v>
      </c>
    </row>
    <row r="31" spans="1:29" x14ac:dyDescent="0.35">
      <c r="A31" s="5" t="s">
        <v>3</v>
      </c>
      <c r="B31" t="s">
        <v>100</v>
      </c>
    </row>
    <row r="32" spans="1:29" x14ac:dyDescent="0.35">
      <c r="A32" s="6" t="s">
        <v>41</v>
      </c>
      <c r="B32" s="8">
        <v>569500</v>
      </c>
    </row>
    <row r="33" spans="1:4" x14ac:dyDescent="0.35">
      <c r="A33" s="6" t="s">
        <v>14</v>
      </c>
      <c r="B33" s="8">
        <v>158000</v>
      </c>
    </row>
    <row r="34" spans="1:4" x14ac:dyDescent="0.35">
      <c r="A34" s="6" t="s">
        <v>26</v>
      </c>
      <c r="B34" s="8">
        <v>632000</v>
      </c>
    </row>
    <row r="35" spans="1:4" x14ac:dyDescent="0.35">
      <c r="A35" s="6" t="s">
        <v>32</v>
      </c>
      <c r="B35" s="8">
        <v>294500</v>
      </c>
    </row>
    <row r="36" spans="1:4" x14ac:dyDescent="0.35">
      <c r="A36" s="6" t="s">
        <v>22</v>
      </c>
      <c r="B36" s="8">
        <v>12500</v>
      </c>
    </row>
    <row r="37" spans="1:4" x14ac:dyDescent="0.35">
      <c r="A37" s="6" t="s">
        <v>96</v>
      </c>
      <c r="B37" s="8">
        <v>1666500</v>
      </c>
    </row>
    <row r="41" spans="1:4" x14ac:dyDescent="0.35">
      <c r="A41" s="5" t="s">
        <v>11</v>
      </c>
      <c r="B41" t="s">
        <v>97</v>
      </c>
      <c r="C41" t="s">
        <v>98</v>
      </c>
    </row>
    <row r="42" spans="1:4" x14ac:dyDescent="0.35">
      <c r="A42" s="6" t="s">
        <v>19</v>
      </c>
      <c r="B42" s="8">
        <v>8</v>
      </c>
      <c r="C42" s="8">
        <v>19</v>
      </c>
    </row>
    <row r="43" spans="1:4" x14ac:dyDescent="0.35">
      <c r="A43" s="6" t="s">
        <v>45</v>
      </c>
      <c r="B43" s="8">
        <v>4</v>
      </c>
      <c r="C43" s="8">
        <v>8</v>
      </c>
      <c r="D43" s="9"/>
    </row>
    <row r="44" spans="1:4" x14ac:dyDescent="0.35">
      <c r="A44" s="6" t="s">
        <v>54</v>
      </c>
      <c r="B44" s="8">
        <v>7</v>
      </c>
      <c r="C44" s="8">
        <v>21</v>
      </c>
    </row>
    <row r="45" spans="1:4" x14ac:dyDescent="0.35">
      <c r="A45" s="6" t="s">
        <v>63</v>
      </c>
      <c r="B45" s="8">
        <v>7</v>
      </c>
      <c r="C45" s="8">
        <v>19</v>
      </c>
    </row>
    <row r="46" spans="1:4" x14ac:dyDescent="0.35">
      <c r="A46" s="6" t="s">
        <v>72</v>
      </c>
      <c r="B46" s="8">
        <v>3</v>
      </c>
      <c r="C46" s="8">
        <v>12</v>
      </c>
    </row>
    <row r="47" spans="1:4" x14ac:dyDescent="0.35">
      <c r="A47" s="6" t="s">
        <v>77</v>
      </c>
      <c r="B47" s="8">
        <v>4</v>
      </c>
      <c r="C47" s="8">
        <v>14</v>
      </c>
    </row>
    <row r="48" spans="1:4" x14ac:dyDescent="0.35">
      <c r="A48" s="6" t="s">
        <v>82</v>
      </c>
      <c r="B48" s="8">
        <v>4</v>
      </c>
      <c r="C48" s="8">
        <v>14</v>
      </c>
    </row>
    <row r="49" spans="1:37" x14ac:dyDescent="0.35">
      <c r="A49" s="6" t="s">
        <v>88</v>
      </c>
      <c r="B49" s="8">
        <v>4</v>
      </c>
      <c r="C49" s="8">
        <v>8</v>
      </c>
    </row>
    <row r="50" spans="1:37" x14ac:dyDescent="0.35">
      <c r="A50" s="6" t="s">
        <v>93</v>
      </c>
      <c r="B50" s="8">
        <v>3</v>
      </c>
      <c r="C50" s="8">
        <v>9</v>
      </c>
    </row>
    <row r="51" spans="1:37" x14ac:dyDescent="0.35">
      <c r="A51" s="6" t="s">
        <v>96</v>
      </c>
      <c r="B51" s="8">
        <v>44</v>
      </c>
      <c r="C51" s="8">
        <v>124</v>
      </c>
    </row>
    <row r="53" spans="1:37" x14ac:dyDescent="0.35">
      <c r="A53" s="5" t="s">
        <v>5</v>
      </c>
      <c r="B53" t="s">
        <v>105</v>
      </c>
    </row>
    <row r="54" spans="1:37" x14ac:dyDescent="0.35">
      <c r="A54" s="6" t="s">
        <v>16</v>
      </c>
      <c r="B54" s="11">
        <v>0.75397539753975396</v>
      </c>
    </row>
    <row r="55" spans="1:37" x14ac:dyDescent="0.35">
      <c r="A55" s="6" t="s">
        <v>44</v>
      </c>
      <c r="B55" s="11">
        <v>0.24602460246024602</v>
      </c>
    </row>
    <row r="56" spans="1:37" x14ac:dyDescent="0.35">
      <c r="A56" s="6" t="s">
        <v>96</v>
      </c>
      <c r="B56" s="11">
        <v>1</v>
      </c>
    </row>
    <row r="59" spans="1:37" x14ac:dyDescent="0.35">
      <c r="A59" s="5" t="s">
        <v>106</v>
      </c>
      <c r="B59" t="s">
        <v>100</v>
      </c>
    </row>
    <row r="60" spans="1:37" x14ac:dyDescent="0.35">
      <c r="A60" s="6" t="s">
        <v>27</v>
      </c>
      <c r="B60" s="8">
        <v>501500</v>
      </c>
    </row>
    <row r="61" spans="1:37" x14ac:dyDescent="0.35">
      <c r="A61" s="6" t="s">
        <v>17</v>
      </c>
      <c r="B61" s="8">
        <v>225000</v>
      </c>
    </row>
    <row r="62" spans="1:37" x14ac:dyDescent="0.35">
      <c r="A62" s="6" t="s">
        <v>36</v>
      </c>
      <c r="B62" s="8">
        <v>269500</v>
      </c>
    </row>
    <row r="63" spans="1:37" x14ac:dyDescent="0.35">
      <c r="A63" s="6" t="s">
        <v>48</v>
      </c>
      <c r="B63" s="8">
        <v>670500</v>
      </c>
    </row>
    <row r="64" spans="1:37" x14ac:dyDescent="0.35">
      <c r="A64" s="6" t="s">
        <v>96</v>
      </c>
      <c r="B64" s="8">
        <v>1666500</v>
      </c>
    </row>
    <row r="66" spans="1:2" x14ac:dyDescent="0.35">
      <c r="A66" s="5" t="s">
        <v>4</v>
      </c>
      <c r="B66" t="s">
        <v>100</v>
      </c>
    </row>
    <row r="67" spans="1:2" x14ac:dyDescent="0.35">
      <c r="A67" s="6" t="s">
        <v>27</v>
      </c>
      <c r="B67" s="8">
        <v>501500</v>
      </c>
    </row>
    <row r="68" spans="1:2" x14ac:dyDescent="0.35">
      <c r="A68" s="6" t="s">
        <v>17</v>
      </c>
      <c r="B68" s="8">
        <v>225000</v>
      </c>
    </row>
    <row r="69" spans="1:2" x14ac:dyDescent="0.35">
      <c r="A69" s="6" t="s">
        <v>36</v>
      </c>
      <c r="B69" s="8">
        <v>269500</v>
      </c>
    </row>
    <row r="70" spans="1:2" x14ac:dyDescent="0.35">
      <c r="A70" s="6" t="s">
        <v>48</v>
      </c>
      <c r="B70" s="8">
        <v>670500</v>
      </c>
    </row>
    <row r="71" spans="1:2" x14ac:dyDescent="0.35">
      <c r="A71" s="6" t="s">
        <v>96</v>
      </c>
      <c r="B71" s="8">
        <v>1666500</v>
      </c>
    </row>
    <row r="73" spans="1:2" x14ac:dyDescent="0.35">
      <c r="A73" s="5" t="s">
        <v>107</v>
      </c>
      <c r="B73" t="s">
        <v>108</v>
      </c>
    </row>
    <row r="74" spans="1:2" x14ac:dyDescent="0.35">
      <c r="A74" s="6" t="s">
        <v>39</v>
      </c>
      <c r="B74" s="8">
        <v>10</v>
      </c>
    </row>
    <row r="75" spans="1:2" x14ac:dyDescent="0.35">
      <c r="A75" s="6" t="s">
        <v>29</v>
      </c>
      <c r="B75" s="8">
        <v>8</v>
      </c>
    </row>
    <row r="76" spans="1:2" x14ac:dyDescent="0.35">
      <c r="A76" s="6" t="s">
        <v>18</v>
      </c>
      <c r="B76" s="8">
        <v>10</v>
      </c>
    </row>
    <row r="77" spans="1:2" x14ac:dyDescent="0.35">
      <c r="A77" s="6" t="s">
        <v>24</v>
      </c>
      <c r="B77" s="8">
        <v>16</v>
      </c>
    </row>
    <row r="78" spans="1:2" x14ac:dyDescent="0.35">
      <c r="A78" s="6" t="s">
        <v>96</v>
      </c>
      <c r="B78" s="8">
        <v>44</v>
      </c>
    </row>
  </sheetData>
  <pageMargins left="0.7" right="0.7" top="0.75" bottom="0.75" header="0.3" footer="0.3"/>
  <drawing r:id="rId12"/>
  <legacyDrawing r:id="rId13"/>
  <extLst>
    <ext xmlns:x14="http://schemas.microsoft.com/office/spreadsheetml/2009/9/main" uri="{A8765BA9-456A-4dab-B4F3-ACF838C121DE}">
      <x14:slicerList>
        <x14:slicer r:id="rId1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 Analysis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Venkatesh Thatte</dc:creator>
  <cp:lastModifiedBy>Venkatesh Thatte</cp:lastModifiedBy>
  <dcterms:created xsi:type="dcterms:W3CDTF">2026-10-06T15:11:46Z</dcterms:created>
  <dcterms:modified xsi:type="dcterms:W3CDTF">2026-10-10T09:43:16Z</dcterms:modified>
</cp:coreProperties>
</file>