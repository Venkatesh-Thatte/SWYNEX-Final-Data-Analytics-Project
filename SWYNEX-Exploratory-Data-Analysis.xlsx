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0985411813b6efcf/Documents/Downloads/"/>
    </mc:Choice>
  </mc:AlternateContent>
  <xr:revisionPtr revIDLastSave="6" documentId="11_73FDF06A5332DE6C5D89409CB7C462D34BA2839A" xr6:coauthVersionLast="47" xr6:coauthVersionMax="47" xr10:uidLastSave="{ED7A2273-3790-4CD1-9771-C0C953800BE4}"/>
  <bookViews>
    <workbookView xWindow="-110" yWindow="-110" windowWidth="19420" windowHeight="10420" activeTab="3" xr2:uid="{00000000-000D-0000-FFFF-FFFF00000000}"/>
  </bookViews>
  <sheets>
    <sheet name="EDA_Analysis" sheetId="1" r:id="rId1"/>
    <sheet name="EDA_Summary" sheetId="2" r:id="rId2"/>
    <sheet name="Charts" sheetId="3" r:id="rId3"/>
    <sheet name="Insights" sheetId="4" r:id="rId4"/>
  </sheets>
  <definedNames>
    <definedName name="_xlnm._FilterDatabase" localSheetId="0" hidden="1">EDA_Analysis!$A$1:$M$45</definedName>
    <definedName name="_xlnm._FilterDatabase" localSheetId="1" hidden="1">EDA_Summary!$A$14:$D$20</definedName>
  </definedName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<sst xmlns="http://schemas.openxmlformats.org/spreadsheetml/2006/main" count="518" uniqueCount="137">
  <si>
    <t>Order_ID</t>
  </si>
  <si>
    <t>Order_Date</t>
  </si>
  <si>
    <t>Customer_Name</t>
  </si>
  <si>
    <t>City</t>
  </si>
  <si>
    <t>Product</t>
  </si>
  <si>
    <t>Category</t>
  </si>
  <si>
    <t>Quantity</t>
  </si>
  <si>
    <t>Unit_Price</t>
  </si>
  <si>
    <t>Payment_Mode</t>
  </si>
  <si>
    <t>Sales_Rep</t>
  </si>
  <si>
    <t>Cleaning_Notes</t>
  </si>
  <si>
    <t>Revenue</t>
  </si>
  <si>
    <t>Month</t>
  </si>
  <si>
    <t>ORD1001</t>
  </si>
  <si>
    <t>Rahul</t>
  </si>
  <si>
    <t>Hyderabad</t>
  </si>
  <si>
    <t>Office Chair</t>
  </si>
  <si>
    <t>Furniture</t>
  </si>
  <si>
    <t>UPI</t>
  </si>
  <si>
    <t>Vikram</t>
  </si>
  <si>
    <t>No changes required</t>
  </si>
  <si>
    <t>Mar</t>
  </si>
  <si>
    <t>ORD1002</t>
  </si>
  <si>
    <t>Sneha</t>
  </si>
  <si>
    <t>Headphones</t>
  </si>
  <si>
    <t>Electronics</t>
  </si>
  <si>
    <t>Cash</t>
  </si>
  <si>
    <t>Neha</t>
  </si>
  <si>
    <t>Jan</t>
  </si>
  <si>
    <t>ORD1003</t>
  </si>
  <si>
    <t>Meena</t>
  </si>
  <si>
    <t>Pune</t>
  </si>
  <si>
    <t>Laptop</t>
  </si>
  <si>
    <t>Ramesh</t>
  </si>
  <si>
    <t>Payment mode standardized</t>
  </si>
  <si>
    <t>Apr</t>
  </si>
  <si>
    <t>ORD1004</t>
  </si>
  <si>
    <t>Suresh</t>
  </si>
  <si>
    <t>Keyboard</t>
  </si>
  <si>
    <t>Credit Card</t>
  </si>
  <si>
    <t>ORD1005</t>
  </si>
  <si>
    <t>Unknown</t>
  </si>
  <si>
    <t>Bangalore</t>
  </si>
  <si>
    <t>Missing customer replaced with Unknown</t>
  </si>
  <si>
    <t>ORD1006</t>
  </si>
  <si>
    <t>Debit Card</t>
  </si>
  <si>
    <t>City standardized; Invalid unit price replaced using product reference (3500)</t>
  </si>
  <si>
    <t>ORD1007</t>
  </si>
  <si>
    <t>City standardized</t>
  </si>
  <si>
    <t>Feb</t>
  </si>
  <si>
    <t>ORD1008</t>
  </si>
  <si>
    <t>Ravi</t>
  </si>
  <si>
    <t>Chennai</t>
  </si>
  <si>
    <t>Lakshmi</t>
  </si>
  <si>
    <t>Aug</t>
  </si>
  <si>
    <t>ORD1009</t>
  </si>
  <si>
    <t>Monitor</t>
  </si>
  <si>
    <t>Missing quantity imputed with median (3)</t>
  </si>
  <si>
    <t>ORD1010</t>
  </si>
  <si>
    <t>ORD1011</t>
  </si>
  <si>
    <t>Jun</t>
  </si>
  <si>
    <t>ORD1012</t>
  </si>
  <si>
    <t>Anil</t>
  </si>
  <si>
    <t>City standardized; Payment mode standardized</t>
  </si>
  <si>
    <t>ORD1013</t>
  </si>
  <si>
    <t>ORD1014</t>
  </si>
  <si>
    <t>Divya</t>
  </si>
  <si>
    <t>ORD1015</t>
  </si>
  <si>
    <t>Priya</t>
  </si>
  <si>
    <t>ORD1016</t>
  </si>
  <si>
    <t>City standardized; Invalid quantity (0) replaced with median (3)</t>
  </si>
  <si>
    <t>ORD1017</t>
  </si>
  <si>
    <t>Kiran</t>
  </si>
  <si>
    <t>Desk</t>
  </si>
  <si>
    <t>Jul</t>
  </si>
  <si>
    <t>ORD1018</t>
  </si>
  <si>
    <t>ORD1019</t>
  </si>
  <si>
    <t>Product standardized; Payment mode standardized</t>
  </si>
  <si>
    <t>ORD1020</t>
  </si>
  <si>
    <t>Arjun</t>
  </si>
  <si>
    <t>May</t>
  </si>
  <si>
    <t>ORD1021</t>
  </si>
  <si>
    <t>Sep</t>
  </si>
  <si>
    <t>ORD1022</t>
  </si>
  <si>
    <t>ORD1023</t>
  </si>
  <si>
    <t>ORD1024</t>
  </si>
  <si>
    <t>ORD1025</t>
  </si>
  <si>
    <t>ORD1026</t>
  </si>
  <si>
    <t>Date converted to Excel date</t>
  </si>
  <si>
    <t>ORD1027</t>
  </si>
  <si>
    <t>ORD1028</t>
  </si>
  <si>
    <t>ORD1029</t>
  </si>
  <si>
    <t>ORD1030</t>
  </si>
  <si>
    <t>ORD1031</t>
  </si>
  <si>
    <t>ORD1032</t>
  </si>
  <si>
    <t>ORD1033</t>
  </si>
  <si>
    <t>ORD1034</t>
  </si>
  <si>
    <t>ORD1035</t>
  </si>
  <si>
    <t>ORD1036</t>
  </si>
  <si>
    <t>ORD1037</t>
  </si>
  <si>
    <t>Extra spaces removed from customer; Payment mode standardized</t>
  </si>
  <si>
    <t>ORD1038</t>
  </si>
  <si>
    <t>ORD1039</t>
  </si>
  <si>
    <t>ORD1040</t>
  </si>
  <si>
    <t>ORD1041</t>
  </si>
  <si>
    <t>Missing city replaced with Unknown</t>
  </si>
  <si>
    <t>ORD1042</t>
  </si>
  <si>
    <t>ORD1044</t>
  </si>
  <si>
    <t>ORD1045</t>
  </si>
  <si>
    <t>Task 2 – Exploratory Data Analysis</t>
  </si>
  <si>
    <t>Total Orders</t>
  </si>
  <si>
    <t>Total Units Sold</t>
  </si>
  <si>
    <t>Highest Revenue Product</t>
  </si>
  <si>
    <t>Highest Revenue City</t>
  </si>
  <si>
    <t>Highest Revenue Month</t>
  </si>
  <si>
    <t>Orders</t>
  </si>
  <si>
    <t>Units</t>
  </si>
  <si>
    <t>Monthly Trend</t>
  </si>
  <si>
    <t>Payment Mode</t>
  </si>
  <si>
    <t>Sales Rep</t>
  </si>
  <si>
    <t>Task 2 – EDA Charts</t>
  </si>
  <si>
    <t>Task 2 – Key EDA Insights</t>
  </si>
  <si>
    <t>Average Order Value</t>
  </si>
  <si>
    <t xml:space="preserve">Total Revenue </t>
  </si>
  <si>
    <t xml:space="preserve">Median Order Value </t>
  </si>
  <si>
    <t>April</t>
  </si>
  <si>
    <t>Total Revenue by Product</t>
  </si>
  <si>
    <t>Total Revenue by City</t>
  </si>
  <si>
    <t>Total Revenue by Category</t>
  </si>
  <si>
    <t xml:space="preserve">Revenue </t>
  </si>
  <si>
    <t>1. The dataset contains 44 orders and 124 units sold, generating total revenue of 1,666,500.</t>
  </si>
  <si>
    <t>2. Laptops generate the highest product revenue at 780,000.</t>
  </si>
  <si>
    <t>3. Hyderabad is the highest-revenue city at 632,000.</t>
  </si>
  <si>
    <t>4. Apr records the highest monthly revenue at 477,500.</t>
  </si>
  <si>
    <t>5. Electronics generate 1,256,500, compared with 410,000 from Furniture.</t>
  </si>
  <si>
    <t>6. UPI is the highest-revenue payment mode at 670,500.</t>
  </si>
  <si>
    <t>7. ORD1019 contains a Laptop priced at 2,500, while the other Laptop transactions are 55,000. This is a notable pricing anomaly that should be reviewed.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</si>
</sst>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\-mm\-yyyy"/>
    <numFmt numFmtId="172" formatCode="0,&quot;K&quot;"/>
    <numFmt numFmtId="176" formatCode="_(* #,##0_);_(* \(#,##0\);_(* &quot;-&quot;??_);_(@_)"/>
  </numFmts>
  <fonts count="7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8"/>
      <name val="Calibri"/>
    </font>
    <font>
      <b/>
      <sz val="11"/>
      <name val="Calibri"/>
    </font>
    <font>
      <b/>
      <sz val="13"/>
      <name val="Calibri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548235"/>
      </patternFill>
    </fill>
    <fill>
      <patternFill patternType="solid">
        <fgColor rgb="FFFFFF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18">
    <xf numFmtId="0" fontId="0" fillId="0" borderId="0" xfId="0"/>
    <xf numFmtId="0" fontId="1" fillId="2" borderId="0" xfId="0" applyFont="1" applyFill="1" applyAlignment="1">
      <alignment horizontal="center"/>
    </xf>
    <xf numFmtId="164" fontId="0" fillId="0" borderId="0" xfId="0" applyNumberFormat="1"/>
    <xf numFmtId="3" fontId="0" fillId="0" borderId="0" xfId="0" applyNumberFormat="1"/>
    <xf numFmtId="0" fontId="2" fillId="0" borderId="0" xfId="0" applyFont="1"/>
    <xf numFmtId="0" fontId="3" fillId="0" borderId="0" xfId="0" applyFont="1"/>
    <xf numFmtId="4" fontId="0" fillId="0" borderId="0" xfId="0" applyNumberFormat="1"/>
    <xf numFmtId="0" fontId="4" fillId="0" borderId="0" xfId="0" applyFont="1"/>
    <xf numFmtId="0" fontId="1" fillId="3" borderId="0" xfId="0" applyFont="1" applyFill="1"/>
    <xf numFmtId="0" fontId="0" fillId="0" borderId="0" xfId="0" applyAlignment="1">
      <alignment vertical="top" wrapText="1"/>
    </xf>
    <xf numFmtId="0" fontId="0" fillId="0" borderId="0" xfId="0" applyAlignment="1">
      <alignment horizontal="left"/>
    </xf>
    <xf numFmtId="0" fontId="4" fillId="4" borderId="0" xfId="0" applyFont="1" applyFill="1" applyAlignment="1">
      <alignment horizontal="center"/>
    </xf>
    <xf numFmtId="172" fontId="6" fillId="0" borderId="0" xfId="0" applyNumberFormat="1" applyFont="1"/>
    <xf numFmtId="172" fontId="0" fillId="0" borderId="0" xfId="0" applyNumberFormat="1"/>
    <xf numFmtId="0" fontId="3" fillId="5" borderId="0" xfId="0" applyFont="1" applyFill="1"/>
    <xf numFmtId="176" fontId="0" fillId="0" borderId="0" xfId="1" applyNumberFormat="1" applyFont="1"/>
    <xf numFmtId="176" fontId="0" fillId="0" borderId="0" xfId="0" applyNumberFormat="1"/>
    <xf numFmtId="0" fontId="1" fillId="6" borderId="0" xfId="0" applyFont="1" applyFill="1"/>
  </cellXfs>
  <cellStyles count="2">
    <cellStyle name="Comma" xfId="1" builtinId="3"/>
    <cellStyle name="Normal" xfId="0" builtinId="0"/>
  </cellStyles>
  <dxfs count="41">
    <dxf>
      <numFmt numFmtId="175" formatCode="_(* #,##0.0_);_(* \(#,##0.0\);_(* &quot;-&quot;??_);_(@_)"/>
    </dxf>
    <dxf>
      <numFmt numFmtId="176" formatCode="_(* #,##0_);_(* \(#,##0\);_(* &quot;-&quot;??_);_(@_)"/>
    </dxf>
    <dxf>
      <fill>
        <patternFill patternType="solid">
          <bgColor rgb="FF92D050"/>
        </patternFill>
      </fill>
    </dxf>
    <dxf>
      <fill>
        <patternFill>
          <bgColor theme="6"/>
        </patternFill>
      </fill>
    </dxf>
    <dxf>
      <font>
        <b/>
        <color rgb="FFFFFFFF"/>
      </font>
      <fill>
        <patternFill>
          <fgColor rgb="FF548235"/>
        </patternFill>
      </fill>
    </dxf>
    <dxf>
      <font>
        <b/>
        <color rgb="FFFFFFFF"/>
      </font>
      <fill>
        <patternFill patternType="solid">
          <fgColor rgb="FF548235"/>
        </patternFill>
      </fill>
    </dxf>
    <dxf>
      <font>
        <b/>
        <color rgb="FFFFFFFF"/>
      </font>
      <fill>
        <patternFill patternType="solid">
          <fgColor rgb="FF548235"/>
        </patternFill>
      </fill>
    </dxf>
    <dxf>
      <fill>
        <patternFill>
          <fgColor rgb="FF548235"/>
        </patternFill>
      </fill>
    </dxf>
    <dxf>
      <fill>
        <patternFill>
          <fgColor rgb="FF548235"/>
        </patternFill>
      </fill>
    </dxf>
    <dxf>
      <fill>
        <patternFill>
          <fgColor rgb="FF548235"/>
        </patternFill>
      </fill>
    </dxf>
    <dxf>
      <font>
        <b/>
        <color rgb="FFFFFFFF"/>
      </font>
      <fill>
        <patternFill patternType="solid">
          <fgColor rgb="FF548235"/>
        </patternFill>
      </fill>
    </dxf>
    <dxf>
      <numFmt numFmtId="175" formatCode="_(* #,##0.0_);_(* \(#,##0.0\);_(* &quot;-&quot;??_);_(@_)"/>
    </dxf>
    <dxf>
      <numFmt numFmtId="35" formatCode="_(* #,##0.00_);_(* \(#,##0.00\);_(* &quot;-&quot;??_);_(@_)"/>
    </dxf>
    <dxf>
      <fill>
        <patternFill patternType="solid">
          <bgColor rgb="FF92D050"/>
        </patternFill>
      </fill>
    </dxf>
    <dxf>
      <fill>
        <patternFill>
          <bgColor theme="6"/>
        </patternFill>
      </fill>
    </dxf>
    <dxf>
      <font>
        <b/>
        <color rgb="FFFFFFFF"/>
      </font>
      <fill>
        <patternFill>
          <fgColor rgb="FF548235"/>
        </patternFill>
      </fill>
    </dxf>
    <dxf>
      <font>
        <b/>
        <color rgb="FFFFFFFF"/>
      </font>
      <fill>
        <patternFill patternType="solid">
          <fgColor rgb="FF548235"/>
        </patternFill>
      </fill>
    </dxf>
    <dxf>
      <font>
        <b/>
        <color rgb="FFFFFFFF"/>
      </font>
      <fill>
        <patternFill patternType="solid">
          <fgColor rgb="FF548235"/>
        </patternFill>
      </fill>
    </dxf>
    <dxf>
      <fill>
        <patternFill>
          <fgColor rgb="FF548235"/>
        </patternFill>
      </fill>
    </dxf>
    <dxf>
      <fill>
        <patternFill>
          <fgColor rgb="FF548235"/>
        </patternFill>
      </fill>
    </dxf>
    <dxf>
      <fill>
        <patternFill>
          <fgColor rgb="FF548235"/>
        </patternFill>
      </fill>
    </dxf>
    <dxf>
      <font>
        <b/>
        <color rgb="FFFFFFFF"/>
      </font>
      <fill>
        <patternFill patternType="solid">
          <fgColor rgb="FF548235"/>
        </patternFill>
      </fill>
    </dxf>
    <dxf>
      <numFmt numFmtId="35" formatCode="_(* #,##0.00_);_(* \(#,##0.00\);_(* &quot;-&quot;??_);_(@_)"/>
    </dxf>
    <dxf>
      <fill>
        <patternFill patternType="solid">
          <bgColor rgb="FF92D050"/>
        </patternFill>
      </fill>
    </dxf>
    <dxf>
      <fill>
        <patternFill>
          <bgColor theme="6"/>
        </patternFill>
      </fill>
    </dxf>
    <dxf>
      <font>
        <b/>
        <color rgb="FFFFFFFF"/>
      </font>
      <fill>
        <patternFill>
          <fgColor rgb="FF548235"/>
        </patternFill>
      </fill>
    </dxf>
    <dxf>
      <font>
        <b/>
        <color rgb="FFFFFFFF"/>
      </font>
      <fill>
        <patternFill patternType="solid">
          <fgColor rgb="FF548235"/>
        </patternFill>
      </fill>
    </dxf>
    <dxf>
      <font>
        <b/>
        <color rgb="FFFFFFFF"/>
      </font>
      <fill>
        <patternFill patternType="solid">
          <fgColor rgb="FF548235"/>
        </patternFill>
      </fill>
    </dxf>
    <dxf>
      <fill>
        <patternFill>
          <fgColor rgb="FF548235"/>
        </patternFill>
      </fill>
    </dxf>
    <dxf>
      <fill>
        <patternFill>
          <fgColor rgb="FF548235"/>
        </patternFill>
      </fill>
    </dxf>
    <dxf>
      <fill>
        <patternFill>
          <fgColor rgb="FF548235"/>
        </patternFill>
      </fill>
    </dxf>
    <dxf>
      <font>
        <b/>
        <color rgb="FFFFFFFF"/>
      </font>
      <fill>
        <patternFill patternType="solid">
          <fgColor rgb="FF548235"/>
        </patternFill>
      </fill>
    </dxf>
    <dxf>
      <font>
        <b/>
        <color rgb="FFFFFFFF"/>
      </font>
      <fill>
        <patternFill patternType="solid">
          <fgColor rgb="FF548235"/>
        </patternFill>
      </fill>
    </dxf>
    <dxf>
      <fill>
        <patternFill>
          <fgColor rgb="FF548235"/>
        </patternFill>
      </fill>
    </dxf>
    <dxf>
      <fill>
        <patternFill>
          <fgColor rgb="FF548235"/>
        </patternFill>
      </fill>
    </dxf>
    <dxf>
      <fill>
        <patternFill>
          <fgColor rgb="FF548235"/>
        </patternFill>
      </fill>
    </dxf>
    <dxf>
      <font>
        <b/>
        <color rgb="FFFFFFFF"/>
      </font>
      <fill>
        <patternFill patternType="solid">
          <fgColor rgb="FF548235"/>
        </patternFill>
      </fill>
    </dxf>
    <dxf>
      <font>
        <b/>
        <color rgb="FFFFFFFF"/>
      </font>
      <fill>
        <patternFill patternType="solid">
          <fgColor rgb="FF548235"/>
        </patternFill>
      </fill>
    </dxf>
    <dxf>
      <font>
        <b/>
        <color rgb="FFFFFFFF"/>
      </font>
      <fill>
        <patternFill>
          <fgColor rgb="FF548235"/>
        </patternFill>
      </fill>
    </dxf>
    <dxf>
      <fill>
        <patternFill>
          <bgColor theme="6"/>
        </patternFill>
      </fill>
    </dxf>
    <dxf>
      <fill>
        <patternFill patternType="solid">
          <bgColor rgb="FF92D0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Revenue by Product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4734596994923399"/>
          <c:y val="4.6130310634247655E-2"/>
          <c:w val="0.7173081018518519"/>
          <c:h val="0.8891269841269841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Charts!$B$3</c:f>
              <c:strCache>
                <c:ptCount val="1"/>
                <c:pt idx="0">
                  <c:v>Revenue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Charts!$A$4:$A$9</c:f>
              <c:strCache>
                <c:ptCount val="6"/>
                <c:pt idx="0">
                  <c:v>Laptop</c:v>
                </c:pt>
                <c:pt idx="1">
                  <c:v>Monitor</c:v>
                </c:pt>
                <c:pt idx="2">
                  <c:v>Desk</c:v>
                </c:pt>
                <c:pt idx="3">
                  <c:v>Office Chair</c:v>
                </c:pt>
                <c:pt idx="4">
                  <c:v>Keyboard</c:v>
                </c:pt>
                <c:pt idx="5">
                  <c:v>Headphones</c:v>
                </c:pt>
              </c:strCache>
            </c:strRef>
          </c:cat>
          <c:val>
            <c:numRef>
              <c:f>Charts!$B$4:$B$9</c:f>
              <c:numCache>
                <c:formatCode>0,"K"</c:formatCode>
                <c:ptCount val="6"/>
                <c:pt idx="0">
                  <c:v>780000</c:v>
                </c:pt>
                <c:pt idx="1">
                  <c:v>270000</c:v>
                </c:pt>
                <c:pt idx="2">
                  <c:v>240000</c:v>
                </c:pt>
                <c:pt idx="3">
                  <c:v>170000</c:v>
                </c:pt>
                <c:pt idx="4">
                  <c:v>122500</c:v>
                </c:pt>
                <c:pt idx="5">
                  <c:v>84000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E3-4E09-B11C-755E7D135B5A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Products</a:t>
                </a:r>
              </a:p>
            </c:rich>
          </c:tx>
          <c:layout>
            <c:manualLayout>
              <c:xMode val="edge"/>
              <c:yMode val="edge"/>
              <c:x val="0.43008938001839842"/>
              <c:y val="0.93086164229471313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050"/>
                </a:pPr>
                <a:r>
                  <a:rPr lang="en-US" sz="1050"/>
                  <a:t>Reveue</a:t>
                </a:r>
              </a:p>
            </c:rich>
          </c:tx>
          <c:layout>
            <c:manualLayout>
              <c:xMode val="edge"/>
              <c:yMode val="edge"/>
              <c:x val="1.1538767305311694E-2"/>
              <c:y val="0.40196833088171668"/>
            </c:manualLayout>
          </c:layout>
          <c:overlay val="0"/>
        </c:title>
        <c:numFmt formatCode="0,&quot;K&quot;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txPr>
    <a:bodyPr/>
    <a:lstStyle/>
    <a:p>
      <a:pPr algn="ctr" rtl="0">
        <a:defRPr lang="en-US" sz="1000" b="1" i="0" u="none" strike="noStrike" kern="1200" baseline="0">
          <a:solidFill>
            <a:sysClr val="windowText" lastClr="000000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Revenue by 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Charts!$I$2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Charts!$H$3:$H$7</c:f>
              <c:strCache>
                <c:ptCount val="5"/>
                <c:pt idx="0">
                  <c:v>Hyderabad</c:v>
                </c:pt>
                <c:pt idx="1">
                  <c:v>Bangalore</c:v>
                </c:pt>
                <c:pt idx="2">
                  <c:v>Pune</c:v>
                </c:pt>
                <c:pt idx="3">
                  <c:v>Chennai</c:v>
                </c:pt>
                <c:pt idx="4">
                  <c:v>Unknown</c:v>
                </c:pt>
              </c:strCache>
            </c:strRef>
          </c:cat>
          <c:val>
            <c:numRef>
              <c:f>Charts!$I$3:$I$7</c:f>
              <c:numCache>
                <c:formatCode>0,"K"</c:formatCode>
                <c:ptCount val="5"/>
                <c:pt idx="0">
                  <c:v>632000</c:v>
                </c:pt>
                <c:pt idx="1">
                  <c:v>569500</c:v>
                </c:pt>
                <c:pt idx="2">
                  <c:v>294500</c:v>
                </c:pt>
                <c:pt idx="3">
                  <c:v>158000</c:v>
                </c:pt>
                <c:pt idx="4">
                  <c:v>12500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32-422D-A523-441E353959A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01887424"/>
        <c:axId val="1901876384"/>
      </c:barChart>
      <c:catAx>
        <c:axId val="19018874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chemeClr val="tx1"/>
                    </a:solidFill>
                  </a:rPr>
                  <a:t>Cities</a:t>
                </a:r>
              </a:p>
            </c:rich>
          </c:tx>
          <c:overlay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1876384"/>
        <c:crosses val="autoZero"/>
        <c:auto val="1"/>
        <c:lblAlgn val="ctr"/>
        <c:lblOffset val="100"/>
        <c:noMultiLvlLbl val="0"/>
      </c:catAx>
      <c:valAx>
        <c:axId val="190187638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chemeClr val="tx1"/>
                    </a:solidFill>
                  </a:rPr>
                  <a:t> 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,&quot;K&quot;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1887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Revenue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Charts!$B$27</c:f>
              <c:strCache>
                <c:ptCount val="1"/>
                <c:pt idx="0">
                  <c:v>Revenue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Charts!$A$28:$A$29</c:f>
              <c:strCache>
                <c:ptCount val="2"/>
                <c:pt idx="0">
                  <c:v>Electronics</c:v>
                </c:pt>
                <c:pt idx="1">
                  <c:v>Furniture</c:v>
                </c:pt>
              </c:strCache>
            </c:strRef>
          </c:cat>
          <c:val>
            <c:numRef>
              <c:f>Charts!$B$28:$B$29</c:f>
              <c:numCache>
                <c:formatCode>0,"K"</c:formatCode>
                <c:ptCount val="2"/>
                <c:pt idx="0">
                  <c:v>1256500</c:v>
                </c:pt>
                <c:pt idx="1">
                  <c:v>410000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8A-49A6-8CBD-2BCC80CA55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8722462817147856"/>
          <c:y val="9.9382927552465958E-2"/>
          <c:w val="0.78221981627296588"/>
          <c:h val="0.74977333377260902"/>
        </c:manualLayout>
      </c:layout>
      <c:lineChart>
        <c:grouping val="stacked"/>
        <c:varyColors val="0"/>
        <c:ser>
          <c:idx val="0"/>
          <c:order val="0"/>
          <c:tx>
            <c:strRef>
              <c:f>Charts!$I$21</c:f>
              <c:strCache>
                <c:ptCount val="1"/>
                <c:pt idx="0">
                  <c:v>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Charts!$H$22:$H$30</c:f>
              <c:strCache>
                <c:ptCount val="9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</c:strCache>
            </c:strRef>
          </c:cat>
          <c:val>
            <c:numRef>
              <c:f>Charts!$I$22:$I$30</c:f>
              <c:numCache>
                <c:formatCode>General</c:formatCode>
                <c:ptCount val="9"/>
                <c:pt idx="0">
                  <c:v>213000</c:v>
                </c:pt>
                <c:pt idx="1">
                  <c:v>117500</c:v>
                </c:pt>
                <c:pt idx="2">
                  <c:v>315500</c:v>
                </c:pt>
                <c:pt idx="3">
                  <c:v>477500</c:v>
                </c:pt>
                <c:pt idx="4">
                  <c:v>101000</c:v>
                </c:pt>
                <c:pt idx="5">
                  <c:v>139500</c:v>
                </c:pt>
                <c:pt idx="6">
                  <c:v>174000</c:v>
                </c:pt>
                <c:pt idx="7">
                  <c:v>88000</c:v>
                </c:pt>
                <c:pt idx="8">
                  <c:v>40500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D1-4EFB-9AD3-55FF53234D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5006864"/>
        <c:axId val="395007824"/>
      </c:lineChart>
      <c:catAx>
        <c:axId val="3950068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</a:t>
                </a:r>
              </a:p>
            </c:rich>
          </c:tx>
          <c:layout>
            <c:manualLayout>
              <c:xMode val="edge"/>
              <c:yMode val="edge"/>
              <c:x val="0.44261220472440943"/>
              <c:y val="0.9330543933054393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007824"/>
        <c:crosses val="autoZero"/>
        <c:auto val="1"/>
        <c:lblAlgn val="ctr"/>
        <c:lblOffset val="100"/>
        <c:noMultiLvlLbl val="0"/>
      </c:catAx>
      <c:valAx>
        <c:axId val="39500782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0068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 algn="ctr" rtl="0">
        <a:defRPr lang="en-US" sz="1000" b="1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584200</xdr:colOff>
      <xdr:row>0</xdr:row>
      <xdr:rowOff>127000</xdr:rowOff>
    </xdr:from>
    <xdr:ext cx="4402550" cy="28892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twoCellAnchor>
    <xdr:from>
      <xdr:col>9</xdr:col>
      <xdr:colOff>250825</xdr:colOff>
      <xdr:row>0</xdr:row>
      <xdr:rowOff>76200</xdr:rowOff>
    </xdr:from>
    <xdr:to>
      <xdr:col>13</xdr:col>
      <xdr:colOff>441325</xdr:colOff>
      <xdr:row>14</xdr:row>
      <xdr:rowOff>127000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73973D5F-0B23-A043-FE36-8A90CDB424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688975</xdr:colOff>
      <xdr:row>20</xdr:row>
      <xdr:rowOff>38100</xdr:rowOff>
    </xdr:from>
    <xdr:to>
      <xdr:col>6</xdr:col>
      <xdr:colOff>231775</xdr:colOff>
      <xdr:row>35</xdr:row>
      <xdr:rowOff>19050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FFEEF6EF-7429-AC4A-9E9C-279FD4CC10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415925</xdr:colOff>
      <xdr:row>19</xdr:row>
      <xdr:rowOff>107950</xdr:rowOff>
    </xdr:from>
    <xdr:to>
      <xdr:col>13</xdr:col>
      <xdr:colOff>606425</xdr:colOff>
      <xdr:row>36</xdr:row>
      <xdr:rowOff>12700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25A51EE8-9579-02A7-7A0E-F3B8831B91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301.263956365743" createdVersion="8" refreshedVersion="8" minRefreshableVersion="3" recordCount="44" xr:uid="{1DEA3DCC-1466-4B42-8AD5-A3B7A8607D40}">
  <cacheSource type="worksheet">
    <worksheetSource ref="A1:M45" sheet="EDA_Analysis"/>
  </cacheSource>
  <cacheFields count="13">
    <cacheField name="Order_ID" numFmtId="0">
      <sharedItems/>
    </cacheField>
    <cacheField name="Order_Date" numFmtId="164">
      <sharedItems containsSemiMixedTypes="0" containsNonDate="0" containsDate="1" containsString="0" minDate="2026-01-07T00:00:00" maxDate="2026-09-21T00:00:00"/>
    </cacheField>
    <cacheField name="Customer_Name" numFmtId="0">
      <sharedItems/>
    </cacheField>
    <cacheField name="City" numFmtId="0">
      <sharedItems/>
    </cacheField>
    <cacheField name="Product" numFmtId="0">
      <sharedItems/>
    </cacheField>
    <cacheField name="Category" numFmtId="0">
      <sharedItems/>
    </cacheField>
    <cacheField name="Quantity" numFmtId="0">
      <sharedItems containsSemiMixedTypes="0" containsString="0" containsNumber="1" containsInteger="1" minValue="1" maxValue="5"/>
    </cacheField>
    <cacheField name="Unit_Price" numFmtId="3">
      <sharedItems containsSemiMixedTypes="0" containsString="0" containsNumber="1" containsInteger="1" minValue="2500" maxValue="55000"/>
    </cacheField>
    <cacheField name="Payment_Mode" numFmtId="0">
      <sharedItems/>
    </cacheField>
    <cacheField name="Sales_Rep" numFmtId="0">
      <sharedItems/>
    </cacheField>
    <cacheField name="Cleaning_Notes" numFmtId="3">
      <sharedItems/>
    </cacheField>
    <cacheField name="Revenue" numFmtId="0">
      <sharedItems containsSemiMixedTypes="0" containsString="0" containsNumber="1" containsInteger="1" minValue="2500" maxValue="165000"/>
    </cacheField>
    <cacheField name="Month" numFmtId="0">
      <sharedItems count="9">
        <s v="Jan"/>
        <s v="Feb"/>
        <s v="Mar"/>
        <s v="Apr"/>
        <s v="May"/>
        <s v="Jun"/>
        <s v="Jul"/>
        <s v="Aug"/>
        <s v="Sep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">
  <r>
    <s v="ORD1028"/>
    <d v="2026-01-07T00:00:00"/>
    <s v="Meena"/>
    <s v="Chennai"/>
    <s v="Headphones"/>
    <s v="Electronics"/>
    <n v="2"/>
    <n v="3500"/>
    <s v="Credit Card"/>
    <s v="Ramesh"/>
    <s v="Payment mode standardized"/>
    <n v="7000"/>
    <x v="0"/>
  </r>
  <r>
    <s v="ORD1041"/>
    <d v="2026-01-09T00:00:00"/>
    <s v="Sneha"/>
    <s v="Unknown"/>
    <s v="Keyboard"/>
    <s v="Electronics"/>
    <n v="5"/>
    <n v="2500"/>
    <s v="Credit Card"/>
    <s v="Vikram"/>
    <s v="Missing city replaced with Unknown"/>
    <n v="12500"/>
    <x v="0"/>
  </r>
  <r>
    <s v="ORD1045"/>
    <d v="2026-01-11T00:00:00"/>
    <s v="Meena"/>
    <s v="Hyderabad"/>
    <s v="Headphones"/>
    <s v="Electronics"/>
    <n v="5"/>
    <n v="3500"/>
    <s v="Cash"/>
    <s v="Ramesh"/>
    <s v="City standardized"/>
    <n v="17500"/>
    <x v="0"/>
  </r>
  <r>
    <s v="ORD1002"/>
    <d v="2026-01-17T00:00:00"/>
    <s v="Sneha"/>
    <s v="Hyderabad"/>
    <s v="Headphones"/>
    <s v="Electronics"/>
    <n v="1"/>
    <n v="3500"/>
    <s v="Cash"/>
    <s v="Neha"/>
    <s v="No changes required"/>
    <n v="3500"/>
    <x v="0"/>
  </r>
  <r>
    <s v="ORD1004"/>
    <d v="2026-01-19T00:00:00"/>
    <s v="Suresh"/>
    <s v="Pune"/>
    <s v="Keyboard"/>
    <s v="Electronics"/>
    <n v="1"/>
    <n v="2500"/>
    <s v="Credit Card"/>
    <s v="Ramesh"/>
    <s v="No changes required"/>
    <n v="2500"/>
    <x v="0"/>
  </r>
  <r>
    <s v="ORD1024"/>
    <d v="2026-01-19T00:00:00"/>
    <s v="Arjun"/>
    <s v="Hyderabad"/>
    <s v="Laptop"/>
    <s v="Electronics"/>
    <n v="1"/>
    <n v="55000"/>
    <s v="Debit Card"/>
    <s v="Ramesh"/>
    <s v="City standardized"/>
    <n v="55000"/>
    <x v="0"/>
  </r>
  <r>
    <s v="ORD1040"/>
    <d v="2026-01-24T00:00:00"/>
    <s v="Priya"/>
    <s v="Hyderabad"/>
    <s v="Laptop"/>
    <s v="Electronics"/>
    <n v="2"/>
    <n v="55000"/>
    <s v="Cash"/>
    <s v="Lakshmi"/>
    <s v="City standardized"/>
    <n v="110000"/>
    <x v="0"/>
  </r>
  <r>
    <s v="ORD1044"/>
    <d v="2026-01-25T00:00:00"/>
    <s v="Arjun"/>
    <s v="Bangalore"/>
    <s v="Keyboard"/>
    <s v="Electronics"/>
    <n v="2"/>
    <n v="2500"/>
    <s v="Cash"/>
    <s v="Ramesh"/>
    <s v="No changes required"/>
    <n v="5000"/>
    <x v="0"/>
  </r>
  <r>
    <s v="ORD1034"/>
    <d v="2026-02-08T00:00:00"/>
    <s v="Priya"/>
    <s v="Bangalore"/>
    <s v="Office Chair"/>
    <s v="Furniture"/>
    <n v="3"/>
    <n v="8500"/>
    <s v="Credit Card"/>
    <s v="Vikram"/>
    <s v="No changes required"/>
    <n v="25500"/>
    <x v="1"/>
  </r>
  <r>
    <s v="ORD1013"/>
    <d v="2026-02-09T00:00:00"/>
    <s v="Ravi"/>
    <s v="Hyderabad"/>
    <s v="Laptop"/>
    <s v="Electronics"/>
    <n v="1"/>
    <n v="55000"/>
    <s v="UPI"/>
    <s v="Vikram"/>
    <s v="City standardized"/>
    <n v="55000"/>
    <x v="1"/>
  </r>
  <r>
    <s v="ORD1007"/>
    <d v="2026-02-19T00:00:00"/>
    <s v="Rahul"/>
    <s v="Hyderabad"/>
    <s v="Headphones"/>
    <s v="Electronics"/>
    <n v="2"/>
    <n v="3500"/>
    <s v="Cash"/>
    <s v="Neha"/>
    <s v="City standardized"/>
    <n v="7000"/>
    <x v="1"/>
  </r>
  <r>
    <s v="ORD1036"/>
    <d v="2026-02-22T00:00:00"/>
    <s v="Priya"/>
    <s v="Pune"/>
    <s v="Monitor"/>
    <s v="Electronics"/>
    <n v="2"/>
    <n v="15000"/>
    <s v="Cash"/>
    <s v="Lakshmi"/>
    <s v="No changes required"/>
    <n v="30000"/>
    <x v="1"/>
  </r>
  <r>
    <s v="ORD1006"/>
    <d v="2026-03-04T00:00:00"/>
    <s v="Suresh"/>
    <s v="Hyderabad"/>
    <s v="Headphones"/>
    <s v="Electronics"/>
    <n v="2"/>
    <n v="3500"/>
    <s v="Debit Card"/>
    <s v="Ramesh"/>
    <s v="City standardized; Invalid unit price replaced using product reference (3500)"/>
    <n v="7000"/>
    <x v="2"/>
  </r>
  <r>
    <s v="ORD1027"/>
    <d v="2026-03-04T00:00:00"/>
    <s v="Anil"/>
    <s v="Bangalore"/>
    <s v="Laptop"/>
    <s v="Electronics"/>
    <n v="3"/>
    <n v="55000"/>
    <s v="Cash"/>
    <s v="Lakshmi"/>
    <s v="City standardized"/>
    <n v="165000"/>
    <x v="2"/>
  </r>
  <r>
    <s v="ORD1038"/>
    <d v="2026-03-06T00:00:00"/>
    <s v="Arjun"/>
    <s v="Hyderabad"/>
    <s v="Monitor"/>
    <s v="Electronics"/>
    <n v="2"/>
    <n v="15000"/>
    <s v="UPI"/>
    <s v="Neha"/>
    <s v="Payment mode standardized"/>
    <n v="30000"/>
    <x v="2"/>
  </r>
  <r>
    <s v="ORD1005"/>
    <d v="2026-03-10T00:00:00"/>
    <s v="Unknown"/>
    <s v="Bangalore"/>
    <s v="Headphones"/>
    <s v="Electronics"/>
    <n v="5"/>
    <n v="3500"/>
    <s v="UPI"/>
    <s v="Vikram"/>
    <s v="Missing customer replaced with Unknown"/>
    <n v="17500"/>
    <x v="2"/>
  </r>
  <r>
    <s v="ORD1001"/>
    <d v="2026-03-13T00:00:00"/>
    <s v="Rahul"/>
    <s v="Hyderabad"/>
    <s v="Office Chair"/>
    <s v="Furniture"/>
    <n v="5"/>
    <n v="8500"/>
    <s v="UPI"/>
    <s v="Vikram"/>
    <s v="No changes required"/>
    <n v="42500"/>
    <x v="2"/>
  </r>
  <r>
    <s v="ORD1015"/>
    <d v="2026-03-20T00:00:00"/>
    <s v="Priya"/>
    <s v="Pune"/>
    <s v="Office Chair"/>
    <s v="Furniture"/>
    <n v="1"/>
    <n v="8500"/>
    <s v="Credit Card"/>
    <s v="Vikram"/>
    <s v="No changes required"/>
    <n v="8500"/>
    <x v="2"/>
  </r>
  <r>
    <s v="ORD1039"/>
    <d v="2026-03-20T00:00:00"/>
    <s v="Suresh"/>
    <s v="Pune"/>
    <s v="Monitor"/>
    <s v="Electronics"/>
    <n v="3"/>
    <n v="15000"/>
    <s v="Credit Card"/>
    <s v="Lakshmi"/>
    <s v="No changes required"/>
    <n v="45000"/>
    <x v="2"/>
  </r>
  <r>
    <s v="ORD1003"/>
    <d v="2026-04-03T00:00:00"/>
    <s v="Meena"/>
    <s v="Pune"/>
    <s v="Laptop"/>
    <s v="Electronics"/>
    <n v="1"/>
    <n v="55000"/>
    <s v="UPI"/>
    <s v="Ramesh"/>
    <s v="Payment mode standardized"/>
    <n v="55000"/>
    <x v="3"/>
  </r>
  <r>
    <s v="ORD1009"/>
    <d v="2026-04-03T00:00:00"/>
    <s v="Suresh"/>
    <s v="Chennai"/>
    <s v="Monitor"/>
    <s v="Electronics"/>
    <n v="3"/>
    <n v="15000"/>
    <s v="Cash"/>
    <s v="Vikram"/>
    <s v="Missing quantity imputed with median (3)"/>
    <n v="45000"/>
    <x v="3"/>
  </r>
  <r>
    <s v="ORD1016"/>
    <d v="2026-04-13T00:00:00"/>
    <s v="Divya"/>
    <s v="Bangalore"/>
    <s v="Keyboard"/>
    <s v="Electronics"/>
    <n v="3"/>
    <n v="2500"/>
    <s v="UPI"/>
    <s v="Lakshmi"/>
    <s v="City standardized; Invalid quantity (0) replaced with median (3)"/>
    <n v="7500"/>
    <x v="3"/>
  </r>
  <r>
    <s v="ORD1023"/>
    <d v="2026-04-15T00:00:00"/>
    <s v="Arjun"/>
    <s v="Hyderabad"/>
    <s v="Laptop"/>
    <s v="Electronics"/>
    <n v="3"/>
    <n v="55000"/>
    <s v="UPI"/>
    <s v="Ramesh"/>
    <s v="Payment mode standardized"/>
    <n v="165000"/>
    <x v="3"/>
  </r>
  <r>
    <s v="ORD1025"/>
    <d v="2026-04-20T00:00:00"/>
    <s v="Divya"/>
    <s v="Bangalore"/>
    <s v="Laptop"/>
    <s v="Electronics"/>
    <n v="3"/>
    <n v="55000"/>
    <s v="Debit Card"/>
    <s v="Vikram"/>
    <s v="No changes required"/>
    <n v="165000"/>
    <x v="3"/>
  </r>
  <r>
    <s v="ORD1031"/>
    <d v="2026-04-20T00:00:00"/>
    <s v="Sneha"/>
    <s v="Chennai"/>
    <s v="Monitor"/>
    <s v="Electronics"/>
    <n v="2"/>
    <n v="15000"/>
    <s v="Cash"/>
    <s v="Lakshmi"/>
    <s v="City standardized"/>
    <n v="30000"/>
    <x v="3"/>
  </r>
  <r>
    <s v="ORD1019"/>
    <d v="2026-04-22T00:00:00"/>
    <s v="Sneha"/>
    <s v="Hyderabad"/>
    <s v="Laptop"/>
    <s v="Electronics"/>
    <n v="4"/>
    <n v="2500"/>
    <s v="UPI"/>
    <s v="Lakshmi"/>
    <s v="Product standardized; Payment mode standardized"/>
    <n v="10000"/>
    <x v="3"/>
  </r>
  <r>
    <s v="ORD1020"/>
    <d v="2026-05-01T00:00:00"/>
    <s v="Arjun"/>
    <s v="Pune"/>
    <s v="Office Chair"/>
    <s v="Furniture"/>
    <n v="5"/>
    <n v="8500"/>
    <s v="Debit Card"/>
    <s v="Vikram"/>
    <s v="No changes required"/>
    <n v="42500"/>
    <x v="4"/>
  </r>
  <r>
    <s v="ORD1033"/>
    <d v="2026-05-07T00:00:00"/>
    <s v="Suresh"/>
    <s v="Chennai"/>
    <s v="Desk"/>
    <s v="Furniture"/>
    <n v="4"/>
    <n v="12000"/>
    <s v="Credit Card"/>
    <s v="Vikram"/>
    <s v="Payment mode standardized"/>
    <n v="48000"/>
    <x v="4"/>
  </r>
  <r>
    <s v="ORD1029"/>
    <d v="2026-05-21T00:00:00"/>
    <s v="Priya"/>
    <s v="Bangalore"/>
    <s v="Headphones"/>
    <s v="Electronics"/>
    <n v="3"/>
    <n v="3500"/>
    <s v="UPI"/>
    <s v="Vikram"/>
    <s v="City standardized; Payment mode standardized"/>
    <n v="10500"/>
    <x v="4"/>
  </r>
  <r>
    <s v="ORD1037"/>
    <d v="2026-06-03T00:00:00"/>
    <s v="Priya"/>
    <s v="Pune"/>
    <s v="Desk"/>
    <s v="Furniture"/>
    <n v="4"/>
    <n v="12000"/>
    <s v="Credit Card"/>
    <s v="Ramesh"/>
    <s v="Extra spaces removed from customer; Payment mode standardized"/>
    <n v="48000"/>
    <x v="5"/>
  </r>
  <r>
    <s v="ORD1011"/>
    <d v="2026-06-05T00:00:00"/>
    <s v="Ravi"/>
    <s v="Pune"/>
    <s v="Keyboard"/>
    <s v="Electronics"/>
    <n v="1"/>
    <n v="2500"/>
    <s v="Credit Card"/>
    <s v="Ramesh"/>
    <s v="Payment mode standardized"/>
    <n v="2500"/>
    <x v="5"/>
  </r>
  <r>
    <s v="ORD1012"/>
    <d v="2026-06-11T00:00:00"/>
    <s v="Anil"/>
    <s v="Hyderabad"/>
    <s v="Headphones"/>
    <s v="Electronics"/>
    <n v="4"/>
    <n v="3500"/>
    <s v="UPI"/>
    <s v="Neha"/>
    <s v="City standardized; Payment mode standardized"/>
    <n v="14000"/>
    <x v="5"/>
  </r>
  <r>
    <s v="ORD1030"/>
    <d v="2026-06-25T00:00:00"/>
    <s v="Sneha"/>
    <s v="Hyderabad"/>
    <s v="Keyboard"/>
    <s v="Electronics"/>
    <n v="5"/>
    <n v="15000"/>
    <s v="UPI"/>
    <s v="Vikram"/>
    <s v="City standardized; Payment mode standardized"/>
    <n v="75000"/>
    <x v="5"/>
  </r>
  <r>
    <s v="ORD1022"/>
    <d v="2026-07-04T00:00:00"/>
    <s v="Ravi"/>
    <s v="Bangalore"/>
    <s v="Desk"/>
    <s v="Furniture"/>
    <n v="4"/>
    <n v="12000"/>
    <s v="UPI"/>
    <s v="Lakshmi"/>
    <s v="City standardized; Payment mode standardized"/>
    <n v="48000"/>
    <x v="6"/>
  </r>
  <r>
    <s v="ORD1018"/>
    <d v="2026-07-12T00:00:00"/>
    <s v="Divya"/>
    <s v="Bangalore"/>
    <s v="Monitor"/>
    <s v="Electronics"/>
    <n v="2"/>
    <n v="15000"/>
    <s v="UPI"/>
    <s v="Lakshmi"/>
    <s v="No changes required"/>
    <n v="30000"/>
    <x v="6"/>
  </r>
  <r>
    <s v="ORD1026"/>
    <d v="2026-07-15T00:00:00"/>
    <s v="Ravi"/>
    <s v="Pune"/>
    <s v="Desk"/>
    <s v="Furniture"/>
    <n v="4"/>
    <n v="12000"/>
    <s v="Cash"/>
    <s v="Vikram"/>
    <s v="Date converted to Excel date"/>
    <n v="48000"/>
    <x v="6"/>
  </r>
  <r>
    <s v="ORD1017"/>
    <d v="2026-07-18T00:00:00"/>
    <s v="Kiran"/>
    <s v="Bangalore"/>
    <s v="Desk"/>
    <s v="Furniture"/>
    <n v="4"/>
    <n v="12000"/>
    <s v="UPI"/>
    <s v="Vikram"/>
    <s v="Payment mode standardized"/>
    <n v="48000"/>
    <x v="6"/>
  </r>
  <r>
    <s v="ORD1010"/>
    <d v="2026-08-10T00:00:00"/>
    <s v="Suresh"/>
    <s v="Hyderabad"/>
    <s v="Monitor"/>
    <s v="Electronics"/>
    <n v="1"/>
    <n v="15000"/>
    <s v="UPI"/>
    <s v="Neha"/>
    <s v="Payment mode standardized"/>
    <n v="15000"/>
    <x v="7"/>
  </r>
  <r>
    <s v="ORD1014"/>
    <d v="2026-08-10T00:00:00"/>
    <s v="Divya"/>
    <s v="Bangalore"/>
    <s v="Monitor"/>
    <s v="Electronics"/>
    <n v="3"/>
    <n v="15000"/>
    <s v="UPI"/>
    <s v="Neha"/>
    <s v="City standardized"/>
    <n v="45000"/>
    <x v="7"/>
  </r>
  <r>
    <s v="ORD1008"/>
    <d v="2026-08-19T00:00:00"/>
    <s v="Ravi"/>
    <s v="Chennai"/>
    <s v="Office Chair"/>
    <s v="Furniture"/>
    <n v="3"/>
    <n v="8500"/>
    <s v="Credit Card"/>
    <s v="Lakshmi"/>
    <s v="No changes required"/>
    <n v="25500"/>
    <x v="7"/>
  </r>
  <r>
    <s v="ORD1035"/>
    <d v="2026-08-20T00:00:00"/>
    <s v="Suresh"/>
    <s v="Chennai"/>
    <s v="Keyboard"/>
    <s v="Electronics"/>
    <n v="1"/>
    <n v="2500"/>
    <s v="Cash"/>
    <s v="Vikram"/>
    <s v="City standardized"/>
    <n v="2500"/>
    <x v="7"/>
  </r>
  <r>
    <s v="ORD1042"/>
    <d v="2026-09-14T00:00:00"/>
    <s v="Arjun"/>
    <s v="Hyderabad"/>
    <s v="Office Chair"/>
    <s v="Furniture"/>
    <n v="3"/>
    <n v="8500"/>
    <s v="Cash"/>
    <s v="Neha"/>
    <s v="No changes required"/>
    <n v="25500"/>
    <x v="8"/>
  </r>
  <r>
    <s v="ORD1032"/>
    <d v="2026-09-16T00:00:00"/>
    <s v="Anil"/>
    <s v="Bangalore"/>
    <s v="Keyboard"/>
    <s v="Electronics"/>
    <n v="1"/>
    <n v="2500"/>
    <s v="UPI"/>
    <s v="Vikram"/>
    <s v="City standardized"/>
    <n v="2500"/>
    <x v="8"/>
  </r>
  <r>
    <s v="ORD1021"/>
    <d v="2026-09-20T00:00:00"/>
    <s v="Rahul"/>
    <s v="Pune"/>
    <s v="Keyboard"/>
    <s v="Electronics"/>
    <n v="5"/>
    <n v="2500"/>
    <s v="Cash"/>
    <s v="Neha"/>
    <s v="No changes required"/>
    <n v="12500"/>
    <x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269360-FE88-48A0-8079-03DE2DA76C6C}" name="PivotTable1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Month">
  <location ref="A23:D32" firstHeaderRow="0" firstDataRow="1" firstDataCol="1"/>
  <pivotFields count="13">
    <pivotField dataField="1" showAll="0"/>
    <pivotField numFmtId="164" showAll="0"/>
    <pivotField showAll="0"/>
    <pivotField showAll="0"/>
    <pivotField showAll="0"/>
    <pivotField showAll="0"/>
    <pivotField dataField="1" showAll="0"/>
    <pivotField numFmtId="3" showAll="0"/>
    <pivotField showAll="0"/>
    <pivotField showAll="0"/>
    <pivotField showAll="0"/>
    <pivotField dataField="1" showAll="0"/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</pivotFields>
  <rowFields count="1">
    <field x="1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</rowItems>
  <colFields count="1">
    <field x="-2"/>
  </colFields>
  <colItems count="3">
    <i>
      <x/>
    </i>
    <i i="1">
      <x v="1"/>
    </i>
    <i i="2">
      <x v="2"/>
    </i>
  </colItems>
  <dataFields count="3">
    <dataField name="Orders" fld="0" subtotal="count" baseField="0" baseItem="0"/>
    <dataField name="Units" fld="6" baseField="0" baseItem="0"/>
    <dataField name="Revenue " fld="11" baseField="0" baseItem="0" numFmtId="176"/>
  </dataFields>
  <formats count="10">
    <format dxfId="40">
      <pivotArea field="12" type="button" dataOnly="0" labelOnly="1" outline="0" axis="axisRow" fieldPosition="0"/>
    </format>
    <format dxfId="39">
      <pivotArea field="12" type="button" dataOnly="0" labelOnly="1" outline="0" axis="axisRow" fieldPosition="0"/>
    </format>
    <format dxfId="38">
      <pivotArea field="12" type="button" dataOnly="0" labelOnly="1" outline="0" axis="axisRow" fieldPosition="0"/>
    </format>
    <format dxfId="37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6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35">
      <pivotArea field="12" type="button" dataOnly="0" labelOnly="1" outline="0" axis="axisRow" fieldPosition="0"/>
    </format>
    <format dxfId="3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3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32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5"/>
  <sheetViews>
    <sheetView topLeftCell="I1" workbookViewId="0">
      <pane ySplit="1" topLeftCell="A27" activePane="bottomLeft" state="frozen"/>
      <selection pane="bottomLeft" activeCell="N35" sqref="N35"/>
    </sheetView>
  </sheetViews>
  <sheetFormatPr defaultRowHeight="14.5"/>
  <cols>
    <col min="1" max="1" width="14" customWidth="1"/>
    <col min="2" max="2" width="14.26953125" customWidth="1"/>
    <col min="3" max="3" width="20.1796875" customWidth="1"/>
    <col min="4" max="4" width="15" customWidth="1"/>
    <col min="5" max="5" width="18" customWidth="1"/>
    <col min="6" max="6" width="15" customWidth="1"/>
    <col min="7" max="7" width="12.7265625" customWidth="1"/>
    <col min="8" max="8" width="14" customWidth="1"/>
    <col min="9" max="9" width="19.08984375" customWidth="1"/>
    <col min="10" max="10" width="19.90625" customWidth="1"/>
    <col min="11" max="11" width="63.6328125" customWidth="1"/>
    <col min="12" max="12" width="12" customWidth="1"/>
    <col min="13" max="13" width="11.3632812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90</v>
      </c>
      <c r="B2" s="2">
        <v>46029</v>
      </c>
      <c r="C2" t="s">
        <v>30</v>
      </c>
      <c r="D2" t="s">
        <v>52</v>
      </c>
      <c r="E2" t="s">
        <v>24</v>
      </c>
      <c r="F2" t="s">
        <v>25</v>
      </c>
      <c r="G2">
        <v>2</v>
      </c>
      <c r="H2" s="3">
        <v>3500</v>
      </c>
      <c r="I2" t="s">
        <v>39</v>
      </c>
      <c r="J2" t="s">
        <v>33</v>
      </c>
      <c r="K2" s="3" t="s">
        <v>34</v>
      </c>
      <c r="L2">
        <v>7000</v>
      </c>
      <c r="M2" t="s">
        <v>28</v>
      </c>
    </row>
    <row r="3" spans="1:13">
      <c r="A3" t="s">
        <v>104</v>
      </c>
      <c r="B3" s="2">
        <v>46031</v>
      </c>
      <c r="C3" t="s">
        <v>23</v>
      </c>
      <c r="D3" t="s">
        <v>41</v>
      </c>
      <c r="E3" t="s">
        <v>38</v>
      </c>
      <c r="F3" t="s">
        <v>25</v>
      </c>
      <c r="G3">
        <v>5</v>
      </c>
      <c r="H3" s="3">
        <v>2500</v>
      </c>
      <c r="I3" t="s">
        <v>39</v>
      </c>
      <c r="J3" t="s">
        <v>19</v>
      </c>
      <c r="K3" s="3" t="s">
        <v>105</v>
      </c>
      <c r="L3">
        <v>12500</v>
      </c>
      <c r="M3" t="s">
        <v>28</v>
      </c>
    </row>
    <row r="4" spans="1:13">
      <c r="A4" t="s">
        <v>108</v>
      </c>
      <c r="B4" s="2">
        <v>46033</v>
      </c>
      <c r="C4" t="s">
        <v>30</v>
      </c>
      <c r="D4" t="s">
        <v>15</v>
      </c>
      <c r="E4" t="s">
        <v>24</v>
      </c>
      <c r="F4" t="s">
        <v>25</v>
      </c>
      <c r="G4">
        <v>5</v>
      </c>
      <c r="H4" s="3">
        <v>3500</v>
      </c>
      <c r="I4" t="s">
        <v>26</v>
      </c>
      <c r="J4" t="s">
        <v>33</v>
      </c>
      <c r="K4" s="3" t="s">
        <v>48</v>
      </c>
      <c r="L4">
        <v>17500</v>
      </c>
      <c r="M4" t="s">
        <v>28</v>
      </c>
    </row>
    <row r="5" spans="1:13">
      <c r="A5" t="s">
        <v>22</v>
      </c>
      <c r="B5" s="2">
        <v>46039</v>
      </c>
      <c r="C5" t="s">
        <v>23</v>
      </c>
      <c r="D5" t="s">
        <v>15</v>
      </c>
      <c r="E5" t="s">
        <v>24</v>
      </c>
      <c r="F5" t="s">
        <v>25</v>
      </c>
      <c r="G5">
        <v>1</v>
      </c>
      <c r="H5" s="3">
        <v>3500</v>
      </c>
      <c r="I5" t="s">
        <v>26</v>
      </c>
      <c r="J5" t="s">
        <v>27</v>
      </c>
      <c r="K5" s="3" t="s">
        <v>20</v>
      </c>
      <c r="L5">
        <v>3500</v>
      </c>
      <c r="M5" t="s">
        <v>28</v>
      </c>
    </row>
    <row r="6" spans="1:13">
      <c r="A6" t="s">
        <v>36</v>
      </c>
      <c r="B6" s="2">
        <v>46041</v>
      </c>
      <c r="C6" t="s">
        <v>37</v>
      </c>
      <c r="D6" t="s">
        <v>31</v>
      </c>
      <c r="E6" t="s">
        <v>38</v>
      </c>
      <c r="F6" t="s">
        <v>25</v>
      </c>
      <c r="G6">
        <v>1</v>
      </c>
      <c r="H6" s="3">
        <v>2500</v>
      </c>
      <c r="I6" t="s">
        <v>39</v>
      </c>
      <c r="J6" t="s">
        <v>33</v>
      </c>
      <c r="K6" s="3" t="s">
        <v>20</v>
      </c>
      <c r="L6">
        <v>2500</v>
      </c>
      <c r="M6" t="s">
        <v>28</v>
      </c>
    </row>
    <row r="7" spans="1:13">
      <c r="A7" t="s">
        <v>85</v>
      </c>
      <c r="B7" s="2">
        <v>46041</v>
      </c>
      <c r="C7" t="s">
        <v>79</v>
      </c>
      <c r="D7" t="s">
        <v>15</v>
      </c>
      <c r="E7" t="s">
        <v>32</v>
      </c>
      <c r="F7" t="s">
        <v>25</v>
      </c>
      <c r="G7">
        <v>1</v>
      </c>
      <c r="H7" s="3">
        <v>55000</v>
      </c>
      <c r="I7" t="s">
        <v>45</v>
      </c>
      <c r="J7" t="s">
        <v>33</v>
      </c>
      <c r="K7" s="3" t="s">
        <v>48</v>
      </c>
      <c r="L7">
        <v>55000</v>
      </c>
      <c r="M7" t="s">
        <v>28</v>
      </c>
    </row>
    <row r="8" spans="1:13">
      <c r="A8" t="s">
        <v>103</v>
      </c>
      <c r="B8" s="2">
        <v>46046</v>
      </c>
      <c r="C8" t="s">
        <v>68</v>
      </c>
      <c r="D8" t="s">
        <v>15</v>
      </c>
      <c r="E8" t="s">
        <v>32</v>
      </c>
      <c r="F8" t="s">
        <v>25</v>
      </c>
      <c r="G8">
        <v>2</v>
      </c>
      <c r="H8" s="3">
        <v>55000</v>
      </c>
      <c r="I8" t="s">
        <v>26</v>
      </c>
      <c r="J8" t="s">
        <v>53</v>
      </c>
      <c r="K8" s="3" t="s">
        <v>48</v>
      </c>
      <c r="L8">
        <v>110000</v>
      </c>
      <c r="M8" t="s">
        <v>28</v>
      </c>
    </row>
    <row r="9" spans="1:13">
      <c r="A9" t="s">
        <v>107</v>
      </c>
      <c r="B9" s="2">
        <v>46047</v>
      </c>
      <c r="C9" t="s">
        <v>79</v>
      </c>
      <c r="D9" t="s">
        <v>42</v>
      </c>
      <c r="E9" t="s">
        <v>38</v>
      </c>
      <c r="F9" t="s">
        <v>25</v>
      </c>
      <c r="G9">
        <v>2</v>
      </c>
      <c r="H9" s="3">
        <v>2500</v>
      </c>
      <c r="I9" t="s">
        <v>26</v>
      </c>
      <c r="J9" t="s">
        <v>33</v>
      </c>
      <c r="K9" s="3" t="s">
        <v>20</v>
      </c>
      <c r="L9">
        <v>5000</v>
      </c>
      <c r="M9" t="s">
        <v>28</v>
      </c>
    </row>
    <row r="10" spans="1:13">
      <c r="A10" t="s">
        <v>96</v>
      </c>
      <c r="B10" s="2">
        <v>46061</v>
      </c>
      <c r="C10" t="s">
        <v>68</v>
      </c>
      <c r="D10" t="s">
        <v>42</v>
      </c>
      <c r="E10" t="s">
        <v>16</v>
      </c>
      <c r="F10" t="s">
        <v>17</v>
      </c>
      <c r="G10">
        <v>3</v>
      </c>
      <c r="H10" s="3">
        <v>8500</v>
      </c>
      <c r="I10" t="s">
        <v>39</v>
      </c>
      <c r="J10" t="s">
        <v>19</v>
      </c>
      <c r="K10" s="3" t="s">
        <v>20</v>
      </c>
      <c r="L10">
        <v>25500</v>
      </c>
      <c r="M10" t="s">
        <v>49</v>
      </c>
    </row>
    <row r="11" spans="1:13">
      <c r="A11" t="s">
        <v>64</v>
      </c>
      <c r="B11" s="2">
        <v>46062</v>
      </c>
      <c r="C11" t="s">
        <v>51</v>
      </c>
      <c r="D11" t="s">
        <v>15</v>
      </c>
      <c r="E11" t="s">
        <v>32</v>
      </c>
      <c r="F11" t="s">
        <v>25</v>
      </c>
      <c r="G11">
        <v>1</v>
      </c>
      <c r="H11" s="3">
        <v>55000</v>
      </c>
      <c r="I11" t="s">
        <v>18</v>
      </c>
      <c r="J11" t="s">
        <v>19</v>
      </c>
      <c r="K11" s="3" t="s">
        <v>48</v>
      </c>
      <c r="L11">
        <v>55000</v>
      </c>
      <c r="M11" t="s">
        <v>49</v>
      </c>
    </row>
    <row r="12" spans="1:13">
      <c r="A12" t="s">
        <v>47</v>
      </c>
      <c r="B12" s="2">
        <v>46072</v>
      </c>
      <c r="C12" t="s">
        <v>14</v>
      </c>
      <c r="D12" t="s">
        <v>15</v>
      </c>
      <c r="E12" t="s">
        <v>24</v>
      </c>
      <c r="F12" t="s">
        <v>25</v>
      </c>
      <c r="G12">
        <v>2</v>
      </c>
      <c r="H12" s="3">
        <v>3500</v>
      </c>
      <c r="I12" t="s">
        <v>26</v>
      </c>
      <c r="J12" t="s">
        <v>27</v>
      </c>
      <c r="K12" s="3" t="s">
        <v>48</v>
      </c>
      <c r="L12">
        <v>7000</v>
      </c>
      <c r="M12" t="s">
        <v>49</v>
      </c>
    </row>
    <row r="13" spans="1:13">
      <c r="A13" t="s">
        <v>98</v>
      </c>
      <c r="B13" s="2">
        <v>46075</v>
      </c>
      <c r="C13" t="s">
        <v>68</v>
      </c>
      <c r="D13" t="s">
        <v>31</v>
      </c>
      <c r="E13" t="s">
        <v>56</v>
      </c>
      <c r="F13" t="s">
        <v>25</v>
      </c>
      <c r="G13">
        <v>2</v>
      </c>
      <c r="H13" s="3">
        <v>15000</v>
      </c>
      <c r="I13" t="s">
        <v>26</v>
      </c>
      <c r="J13" t="s">
        <v>53</v>
      </c>
      <c r="K13" s="3" t="s">
        <v>20</v>
      </c>
      <c r="L13">
        <v>30000</v>
      </c>
      <c r="M13" t="s">
        <v>49</v>
      </c>
    </row>
    <row r="14" spans="1:13">
      <c r="A14" t="s">
        <v>44</v>
      </c>
      <c r="B14" s="2">
        <v>46085</v>
      </c>
      <c r="C14" t="s">
        <v>37</v>
      </c>
      <c r="D14" t="s">
        <v>15</v>
      </c>
      <c r="E14" t="s">
        <v>24</v>
      </c>
      <c r="F14" t="s">
        <v>25</v>
      </c>
      <c r="G14">
        <v>2</v>
      </c>
      <c r="H14" s="3">
        <v>3500</v>
      </c>
      <c r="I14" t="s">
        <v>45</v>
      </c>
      <c r="J14" t="s">
        <v>33</v>
      </c>
      <c r="K14" s="3" t="s">
        <v>46</v>
      </c>
      <c r="L14" s="15">
        <v>7000</v>
      </c>
      <c r="M14" t="s">
        <v>21</v>
      </c>
    </row>
    <row r="15" spans="1:13">
      <c r="A15" t="s">
        <v>89</v>
      </c>
      <c r="B15" s="2">
        <v>46085</v>
      </c>
      <c r="C15" t="s">
        <v>62</v>
      </c>
      <c r="D15" t="s">
        <v>42</v>
      </c>
      <c r="E15" t="s">
        <v>32</v>
      </c>
      <c r="F15" t="s">
        <v>25</v>
      </c>
      <c r="G15">
        <v>3</v>
      </c>
      <c r="H15" s="3">
        <v>55000</v>
      </c>
      <c r="I15" t="s">
        <v>26</v>
      </c>
      <c r="J15" t="s">
        <v>53</v>
      </c>
      <c r="K15" s="3" t="s">
        <v>48</v>
      </c>
      <c r="L15" s="15">
        <v>165000</v>
      </c>
      <c r="M15" t="s">
        <v>21</v>
      </c>
    </row>
    <row r="16" spans="1:13">
      <c r="A16" t="s">
        <v>101</v>
      </c>
      <c r="B16" s="2">
        <v>46087</v>
      </c>
      <c r="C16" t="s">
        <v>79</v>
      </c>
      <c r="D16" t="s">
        <v>15</v>
      </c>
      <c r="E16" t="s">
        <v>56</v>
      </c>
      <c r="F16" t="s">
        <v>25</v>
      </c>
      <c r="G16">
        <v>2</v>
      </c>
      <c r="H16" s="3">
        <v>15000</v>
      </c>
      <c r="I16" t="s">
        <v>18</v>
      </c>
      <c r="J16" t="s">
        <v>27</v>
      </c>
      <c r="K16" s="3" t="s">
        <v>34</v>
      </c>
      <c r="L16" s="15">
        <v>30000</v>
      </c>
      <c r="M16" t="s">
        <v>21</v>
      </c>
    </row>
    <row r="17" spans="1:13">
      <c r="A17" t="s">
        <v>40</v>
      </c>
      <c r="B17" s="2">
        <v>46091</v>
      </c>
      <c r="C17" t="s">
        <v>41</v>
      </c>
      <c r="D17" t="s">
        <v>42</v>
      </c>
      <c r="E17" t="s">
        <v>24</v>
      </c>
      <c r="F17" t="s">
        <v>25</v>
      </c>
      <c r="G17">
        <v>5</v>
      </c>
      <c r="H17" s="3">
        <v>3500</v>
      </c>
      <c r="I17" t="s">
        <v>18</v>
      </c>
      <c r="J17" t="s">
        <v>19</v>
      </c>
      <c r="K17" s="3" t="s">
        <v>43</v>
      </c>
      <c r="L17" s="15">
        <v>17500</v>
      </c>
      <c r="M17" t="s">
        <v>21</v>
      </c>
    </row>
    <row r="18" spans="1:13">
      <c r="A18" t="s">
        <v>13</v>
      </c>
      <c r="B18" s="2">
        <v>46094</v>
      </c>
      <c r="C18" t="s">
        <v>14</v>
      </c>
      <c r="D18" t="s">
        <v>15</v>
      </c>
      <c r="E18" t="s">
        <v>16</v>
      </c>
      <c r="F18" t="s">
        <v>17</v>
      </c>
      <c r="G18">
        <v>5</v>
      </c>
      <c r="H18" s="3">
        <v>8500</v>
      </c>
      <c r="I18" t="s">
        <v>18</v>
      </c>
      <c r="J18" t="s">
        <v>19</v>
      </c>
      <c r="K18" s="3" t="s">
        <v>20</v>
      </c>
      <c r="L18" s="15">
        <v>42500</v>
      </c>
      <c r="M18" t="s">
        <v>21</v>
      </c>
    </row>
    <row r="19" spans="1:13">
      <c r="A19" t="s">
        <v>67</v>
      </c>
      <c r="B19" s="2">
        <v>46101</v>
      </c>
      <c r="C19" t="s">
        <v>68</v>
      </c>
      <c r="D19" t="s">
        <v>31</v>
      </c>
      <c r="E19" t="s">
        <v>16</v>
      </c>
      <c r="F19" t="s">
        <v>17</v>
      </c>
      <c r="G19">
        <v>1</v>
      </c>
      <c r="H19" s="3">
        <v>8500</v>
      </c>
      <c r="I19" t="s">
        <v>39</v>
      </c>
      <c r="J19" t="s">
        <v>19</v>
      </c>
      <c r="K19" s="3" t="s">
        <v>20</v>
      </c>
      <c r="L19" s="15">
        <v>8500</v>
      </c>
      <c r="M19" t="s">
        <v>21</v>
      </c>
    </row>
    <row r="20" spans="1:13">
      <c r="A20" t="s">
        <v>102</v>
      </c>
      <c r="B20" s="2">
        <v>46101</v>
      </c>
      <c r="C20" t="s">
        <v>37</v>
      </c>
      <c r="D20" t="s">
        <v>31</v>
      </c>
      <c r="E20" t="s">
        <v>56</v>
      </c>
      <c r="F20" t="s">
        <v>25</v>
      </c>
      <c r="G20">
        <v>3</v>
      </c>
      <c r="H20" s="3">
        <v>15000</v>
      </c>
      <c r="I20" t="s">
        <v>39</v>
      </c>
      <c r="J20" t="s">
        <v>53</v>
      </c>
      <c r="K20" s="3" t="s">
        <v>20</v>
      </c>
      <c r="L20" s="15">
        <v>45000</v>
      </c>
      <c r="M20" t="s">
        <v>21</v>
      </c>
    </row>
    <row r="21" spans="1:13">
      <c r="A21" t="s">
        <v>29</v>
      </c>
      <c r="B21" s="2">
        <v>46115</v>
      </c>
      <c r="C21" t="s">
        <v>30</v>
      </c>
      <c r="D21" t="s">
        <v>31</v>
      </c>
      <c r="E21" t="s">
        <v>32</v>
      </c>
      <c r="F21" t="s">
        <v>25</v>
      </c>
      <c r="G21">
        <v>1</v>
      </c>
      <c r="H21" s="3">
        <v>55000</v>
      </c>
      <c r="I21" t="s">
        <v>18</v>
      </c>
      <c r="J21" t="s">
        <v>33</v>
      </c>
      <c r="K21" s="3" t="s">
        <v>34</v>
      </c>
      <c r="L21" s="15">
        <v>55000</v>
      </c>
      <c r="M21" t="s">
        <v>35</v>
      </c>
    </row>
    <row r="22" spans="1:13">
      <c r="A22" t="s">
        <v>55</v>
      </c>
      <c r="B22" s="2">
        <v>46115</v>
      </c>
      <c r="C22" t="s">
        <v>37</v>
      </c>
      <c r="D22" t="s">
        <v>52</v>
      </c>
      <c r="E22" t="s">
        <v>56</v>
      </c>
      <c r="F22" t="s">
        <v>25</v>
      </c>
      <c r="G22">
        <v>3</v>
      </c>
      <c r="H22" s="3">
        <v>15000</v>
      </c>
      <c r="I22" t="s">
        <v>26</v>
      </c>
      <c r="J22" t="s">
        <v>19</v>
      </c>
      <c r="K22" s="3" t="s">
        <v>57</v>
      </c>
      <c r="L22" s="15">
        <v>45000</v>
      </c>
      <c r="M22" t="s">
        <v>35</v>
      </c>
    </row>
    <row r="23" spans="1:13">
      <c r="A23" t="s">
        <v>69</v>
      </c>
      <c r="B23" s="2">
        <v>46125</v>
      </c>
      <c r="C23" t="s">
        <v>66</v>
      </c>
      <c r="D23" t="s">
        <v>42</v>
      </c>
      <c r="E23" t="s">
        <v>38</v>
      </c>
      <c r="F23" t="s">
        <v>25</v>
      </c>
      <c r="G23">
        <v>3</v>
      </c>
      <c r="H23" s="3">
        <v>2500</v>
      </c>
      <c r="I23" t="s">
        <v>18</v>
      </c>
      <c r="J23" t="s">
        <v>53</v>
      </c>
      <c r="K23" s="3" t="s">
        <v>70</v>
      </c>
      <c r="L23" s="15">
        <v>7500</v>
      </c>
      <c r="M23" t="s">
        <v>35</v>
      </c>
    </row>
    <row r="24" spans="1:13">
      <c r="A24" t="s">
        <v>84</v>
      </c>
      <c r="B24" s="2">
        <v>46127</v>
      </c>
      <c r="C24" t="s">
        <v>79</v>
      </c>
      <c r="D24" t="s">
        <v>15</v>
      </c>
      <c r="E24" t="s">
        <v>32</v>
      </c>
      <c r="F24" t="s">
        <v>25</v>
      </c>
      <c r="G24">
        <v>3</v>
      </c>
      <c r="H24" s="3">
        <v>55000</v>
      </c>
      <c r="I24" t="s">
        <v>18</v>
      </c>
      <c r="J24" t="s">
        <v>33</v>
      </c>
      <c r="K24" s="3" t="s">
        <v>34</v>
      </c>
      <c r="L24" s="15">
        <v>165000</v>
      </c>
      <c r="M24" t="s">
        <v>35</v>
      </c>
    </row>
    <row r="25" spans="1:13">
      <c r="A25" t="s">
        <v>86</v>
      </c>
      <c r="B25" s="2">
        <v>46132</v>
      </c>
      <c r="C25" t="s">
        <v>66</v>
      </c>
      <c r="D25" t="s">
        <v>42</v>
      </c>
      <c r="E25" t="s">
        <v>32</v>
      </c>
      <c r="F25" t="s">
        <v>25</v>
      </c>
      <c r="G25">
        <v>3</v>
      </c>
      <c r="H25" s="3">
        <v>55000</v>
      </c>
      <c r="I25" t="s">
        <v>45</v>
      </c>
      <c r="J25" t="s">
        <v>19</v>
      </c>
      <c r="K25" s="3" t="s">
        <v>20</v>
      </c>
      <c r="L25" s="15">
        <v>165000</v>
      </c>
      <c r="M25" t="s">
        <v>35</v>
      </c>
    </row>
    <row r="26" spans="1:13">
      <c r="A26" t="s">
        <v>93</v>
      </c>
      <c r="B26" s="2">
        <v>46132</v>
      </c>
      <c r="C26" t="s">
        <v>23</v>
      </c>
      <c r="D26" t="s">
        <v>52</v>
      </c>
      <c r="E26" t="s">
        <v>56</v>
      </c>
      <c r="F26" t="s">
        <v>25</v>
      </c>
      <c r="G26">
        <v>2</v>
      </c>
      <c r="H26" s="3">
        <v>15000</v>
      </c>
      <c r="I26" t="s">
        <v>26</v>
      </c>
      <c r="J26" t="s">
        <v>53</v>
      </c>
      <c r="K26" s="3" t="s">
        <v>48</v>
      </c>
      <c r="L26" s="15">
        <v>30000</v>
      </c>
      <c r="M26" t="s">
        <v>35</v>
      </c>
    </row>
    <row r="27" spans="1:13">
      <c r="A27" t="s">
        <v>76</v>
      </c>
      <c r="B27" s="2">
        <v>46134</v>
      </c>
      <c r="C27" t="s">
        <v>23</v>
      </c>
      <c r="D27" t="s">
        <v>15</v>
      </c>
      <c r="E27" t="s">
        <v>32</v>
      </c>
      <c r="F27" t="s">
        <v>25</v>
      </c>
      <c r="G27">
        <v>4</v>
      </c>
      <c r="H27" s="3">
        <v>2500</v>
      </c>
      <c r="I27" t="s">
        <v>18</v>
      </c>
      <c r="J27" t="s">
        <v>53</v>
      </c>
      <c r="K27" s="3" t="s">
        <v>77</v>
      </c>
      <c r="L27" s="15">
        <v>10000</v>
      </c>
      <c r="M27" t="s">
        <v>35</v>
      </c>
    </row>
    <row r="28" spans="1:13">
      <c r="A28" t="s">
        <v>78</v>
      </c>
      <c r="B28" s="2">
        <v>46143</v>
      </c>
      <c r="C28" t="s">
        <v>79</v>
      </c>
      <c r="D28" t="s">
        <v>31</v>
      </c>
      <c r="E28" t="s">
        <v>16</v>
      </c>
      <c r="F28" t="s">
        <v>17</v>
      </c>
      <c r="G28">
        <v>5</v>
      </c>
      <c r="H28" s="3">
        <v>8500</v>
      </c>
      <c r="I28" t="s">
        <v>45</v>
      </c>
      <c r="J28" t="s">
        <v>19</v>
      </c>
      <c r="K28" s="3" t="s">
        <v>20</v>
      </c>
      <c r="L28" s="15">
        <v>42500</v>
      </c>
      <c r="M28" t="s">
        <v>80</v>
      </c>
    </row>
    <row r="29" spans="1:13">
      <c r="A29" t="s">
        <v>95</v>
      </c>
      <c r="B29" s="2">
        <v>46149</v>
      </c>
      <c r="C29" t="s">
        <v>37</v>
      </c>
      <c r="D29" t="s">
        <v>52</v>
      </c>
      <c r="E29" t="s">
        <v>73</v>
      </c>
      <c r="F29" t="s">
        <v>17</v>
      </c>
      <c r="G29">
        <v>4</v>
      </c>
      <c r="H29" s="3">
        <v>12000</v>
      </c>
      <c r="I29" t="s">
        <v>39</v>
      </c>
      <c r="J29" t="s">
        <v>19</v>
      </c>
      <c r="K29" s="3" t="s">
        <v>34</v>
      </c>
      <c r="L29" s="15">
        <v>48000</v>
      </c>
      <c r="M29" t="s">
        <v>80</v>
      </c>
    </row>
    <row r="30" spans="1:13">
      <c r="A30" t="s">
        <v>91</v>
      </c>
      <c r="B30" s="2">
        <v>46163</v>
      </c>
      <c r="C30" t="s">
        <v>68</v>
      </c>
      <c r="D30" t="s">
        <v>42</v>
      </c>
      <c r="E30" t="s">
        <v>24</v>
      </c>
      <c r="F30" t="s">
        <v>25</v>
      </c>
      <c r="G30">
        <v>3</v>
      </c>
      <c r="H30" s="3">
        <v>3500</v>
      </c>
      <c r="I30" t="s">
        <v>18</v>
      </c>
      <c r="J30" t="s">
        <v>19</v>
      </c>
      <c r="K30" s="3" t="s">
        <v>63</v>
      </c>
      <c r="L30" s="15">
        <v>10500</v>
      </c>
      <c r="M30" t="s">
        <v>80</v>
      </c>
    </row>
    <row r="31" spans="1:13">
      <c r="A31" t="s">
        <v>99</v>
      </c>
      <c r="B31" s="2">
        <v>46176</v>
      </c>
      <c r="C31" t="s">
        <v>68</v>
      </c>
      <c r="D31" t="s">
        <v>31</v>
      </c>
      <c r="E31" t="s">
        <v>73</v>
      </c>
      <c r="F31" t="s">
        <v>17</v>
      </c>
      <c r="G31">
        <v>4</v>
      </c>
      <c r="H31" s="3">
        <v>12000</v>
      </c>
      <c r="I31" t="s">
        <v>39</v>
      </c>
      <c r="J31" t="s">
        <v>33</v>
      </c>
      <c r="K31" s="3" t="s">
        <v>100</v>
      </c>
      <c r="L31" s="15">
        <v>48000</v>
      </c>
      <c r="M31" t="s">
        <v>60</v>
      </c>
    </row>
    <row r="32" spans="1:13">
      <c r="A32" t="s">
        <v>59</v>
      </c>
      <c r="B32" s="2">
        <v>46178</v>
      </c>
      <c r="C32" t="s">
        <v>51</v>
      </c>
      <c r="D32" t="s">
        <v>31</v>
      </c>
      <c r="E32" t="s">
        <v>38</v>
      </c>
      <c r="F32" t="s">
        <v>25</v>
      </c>
      <c r="G32">
        <v>1</v>
      </c>
      <c r="H32" s="3">
        <v>2500</v>
      </c>
      <c r="I32" t="s">
        <v>39</v>
      </c>
      <c r="J32" t="s">
        <v>33</v>
      </c>
      <c r="K32" s="3" t="s">
        <v>34</v>
      </c>
      <c r="L32" s="15">
        <v>2500</v>
      </c>
      <c r="M32" t="s">
        <v>60</v>
      </c>
    </row>
    <row r="33" spans="1:13">
      <c r="A33" t="s">
        <v>61</v>
      </c>
      <c r="B33" s="2">
        <v>46184</v>
      </c>
      <c r="C33" t="s">
        <v>62</v>
      </c>
      <c r="D33" t="s">
        <v>15</v>
      </c>
      <c r="E33" t="s">
        <v>24</v>
      </c>
      <c r="F33" t="s">
        <v>25</v>
      </c>
      <c r="G33">
        <v>4</v>
      </c>
      <c r="H33" s="3">
        <v>3500</v>
      </c>
      <c r="I33" t="s">
        <v>18</v>
      </c>
      <c r="J33" t="s">
        <v>27</v>
      </c>
      <c r="K33" s="3" t="s">
        <v>63</v>
      </c>
      <c r="L33" s="15">
        <v>14000</v>
      </c>
      <c r="M33" t="s">
        <v>60</v>
      </c>
    </row>
    <row r="34" spans="1:13">
      <c r="A34" t="s">
        <v>92</v>
      </c>
      <c r="B34" s="2">
        <v>46198</v>
      </c>
      <c r="C34" t="s">
        <v>23</v>
      </c>
      <c r="D34" t="s">
        <v>15</v>
      </c>
      <c r="E34" t="s">
        <v>38</v>
      </c>
      <c r="F34" t="s">
        <v>25</v>
      </c>
      <c r="G34">
        <v>5</v>
      </c>
      <c r="H34" s="3">
        <v>15000</v>
      </c>
      <c r="I34" t="s">
        <v>18</v>
      </c>
      <c r="J34" t="s">
        <v>19</v>
      </c>
      <c r="K34" s="3" t="s">
        <v>63</v>
      </c>
      <c r="L34" s="15">
        <v>75000</v>
      </c>
      <c r="M34" t="s">
        <v>60</v>
      </c>
    </row>
    <row r="35" spans="1:13">
      <c r="A35" t="s">
        <v>83</v>
      </c>
      <c r="B35" s="2">
        <v>46207</v>
      </c>
      <c r="C35" t="s">
        <v>51</v>
      </c>
      <c r="D35" t="s">
        <v>42</v>
      </c>
      <c r="E35" t="s">
        <v>73</v>
      </c>
      <c r="F35" t="s">
        <v>17</v>
      </c>
      <c r="G35">
        <v>4</v>
      </c>
      <c r="H35" s="3">
        <v>12000</v>
      </c>
      <c r="I35" t="s">
        <v>18</v>
      </c>
      <c r="J35" t="s">
        <v>53</v>
      </c>
      <c r="K35" s="3" t="s">
        <v>63</v>
      </c>
      <c r="L35" s="15">
        <v>48000</v>
      </c>
      <c r="M35" t="s">
        <v>74</v>
      </c>
    </row>
    <row r="36" spans="1:13">
      <c r="A36" t="s">
        <v>75</v>
      </c>
      <c r="B36" s="2">
        <v>46215</v>
      </c>
      <c r="C36" t="s">
        <v>66</v>
      </c>
      <c r="D36" t="s">
        <v>42</v>
      </c>
      <c r="E36" t="s">
        <v>56</v>
      </c>
      <c r="F36" t="s">
        <v>25</v>
      </c>
      <c r="G36">
        <v>2</v>
      </c>
      <c r="H36" s="3">
        <v>15000</v>
      </c>
      <c r="I36" t="s">
        <v>18</v>
      </c>
      <c r="J36" t="s">
        <v>53</v>
      </c>
      <c r="K36" s="3" t="s">
        <v>20</v>
      </c>
      <c r="L36" s="15">
        <v>30000</v>
      </c>
      <c r="M36" t="s">
        <v>74</v>
      </c>
    </row>
    <row r="37" spans="1:13">
      <c r="A37" t="s">
        <v>87</v>
      </c>
      <c r="B37" s="2">
        <v>46218</v>
      </c>
      <c r="C37" t="s">
        <v>51</v>
      </c>
      <c r="D37" t="s">
        <v>31</v>
      </c>
      <c r="E37" t="s">
        <v>73</v>
      </c>
      <c r="F37" t="s">
        <v>17</v>
      </c>
      <c r="G37">
        <v>4</v>
      </c>
      <c r="H37" s="3">
        <v>12000</v>
      </c>
      <c r="I37" t="s">
        <v>26</v>
      </c>
      <c r="J37" t="s">
        <v>19</v>
      </c>
      <c r="K37" s="3" t="s">
        <v>88</v>
      </c>
      <c r="L37" s="15">
        <v>48000</v>
      </c>
      <c r="M37" t="s">
        <v>74</v>
      </c>
    </row>
    <row r="38" spans="1:13">
      <c r="A38" t="s">
        <v>71</v>
      </c>
      <c r="B38" s="2">
        <v>46221</v>
      </c>
      <c r="C38" t="s">
        <v>72</v>
      </c>
      <c r="D38" t="s">
        <v>42</v>
      </c>
      <c r="E38" t="s">
        <v>73</v>
      </c>
      <c r="F38" t="s">
        <v>17</v>
      </c>
      <c r="G38">
        <v>4</v>
      </c>
      <c r="H38" s="3">
        <v>12000</v>
      </c>
      <c r="I38" t="s">
        <v>18</v>
      </c>
      <c r="J38" t="s">
        <v>19</v>
      </c>
      <c r="K38" s="3" t="s">
        <v>34</v>
      </c>
      <c r="L38" s="15">
        <v>48000</v>
      </c>
      <c r="M38" t="s">
        <v>74</v>
      </c>
    </row>
    <row r="39" spans="1:13">
      <c r="A39" t="s">
        <v>58</v>
      </c>
      <c r="B39" s="2">
        <v>46244</v>
      </c>
      <c r="C39" t="s">
        <v>37</v>
      </c>
      <c r="D39" t="s">
        <v>15</v>
      </c>
      <c r="E39" t="s">
        <v>56</v>
      </c>
      <c r="F39" t="s">
        <v>25</v>
      </c>
      <c r="G39">
        <v>1</v>
      </c>
      <c r="H39" s="3">
        <v>15000</v>
      </c>
      <c r="I39" t="s">
        <v>18</v>
      </c>
      <c r="J39" t="s">
        <v>27</v>
      </c>
      <c r="K39" s="3" t="s">
        <v>34</v>
      </c>
      <c r="L39" s="15">
        <v>15000</v>
      </c>
      <c r="M39" t="s">
        <v>54</v>
      </c>
    </row>
    <row r="40" spans="1:13">
      <c r="A40" t="s">
        <v>65</v>
      </c>
      <c r="B40" s="2">
        <v>46244</v>
      </c>
      <c r="C40" t="s">
        <v>66</v>
      </c>
      <c r="D40" t="s">
        <v>42</v>
      </c>
      <c r="E40" t="s">
        <v>56</v>
      </c>
      <c r="F40" t="s">
        <v>25</v>
      </c>
      <c r="G40">
        <v>3</v>
      </c>
      <c r="H40" s="3">
        <v>15000</v>
      </c>
      <c r="I40" t="s">
        <v>18</v>
      </c>
      <c r="J40" t="s">
        <v>27</v>
      </c>
      <c r="K40" s="3" t="s">
        <v>48</v>
      </c>
      <c r="L40" s="15">
        <v>45000</v>
      </c>
      <c r="M40" t="s">
        <v>54</v>
      </c>
    </row>
    <row r="41" spans="1:13">
      <c r="A41" t="s">
        <v>50</v>
      </c>
      <c r="B41" s="2">
        <v>46253</v>
      </c>
      <c r="C41" t="s">
        <v>51</v>
      </c>
      <c r="D41" t="s">
        <v>52</v>
      </c>
      <c r="E41" t="s">
        <v>16</v>
      </c>
      <c r="F41" t="s">
        <v>17</v>
      </c>
      <c r="G41">
        <v>3</v>
      </c>
      <c r="H41" s="3">
        <v>8500</v>
      </c>
      <c r="I41" t="s">
        <v>39</v>
      </c>
      <c r="J41" t="s">
        <v>53</v>
      </c>
      <c r="K41" s="3" t="s">
        <v>20</v>
      </c>
      <c r="L41" s="15">
        <v>25500</v>
      </c>
      <c r="M41" t="s">
        <v>54</v>
      </c>
    </row>
    <row r="42" spans="1:13">
      <c r="A42" t="s">
        <v>97</v>
      </c>
      <c r="B42" s="2">
        <v>46254</v>
      </c>
      <c r="C42" t="s">
        <v>37</v>
      </c>
      <c r="D42" t="s">
        <v>52</v>
      </c>
      <c r="E42" t="s">
        <v>38</v>
      </c>
      <c r="F42" t="s">
        <v>25</v>
      </c>
      <c r="G42">
        <v>1</v>
      </c>
      <c r="H42" s="3">
        <v>2500</v>
      </c>
      <c r="I42" t="s">
        <v>26</v>
      </c>
      <c r="J42" t="s">
        <v>19</v>
      </c>
      <c r="K42" s="3" t="s">
        <v>48</v>
      </c>
      <c r="L42" s="15">
        <v>2500</v>
      </c>
      <c r="M42" t="s">
        <v>54</v>
      </c>
    </row>
    <row r="43" spans="1:13">
      <c r="A43" t="s">
        <v>106</v>
      </c>
      <c r="B43" s="2">
        <v>46279</v>
      </c>
      <c r="C43" t="s">
        <v>79</v>
      </c>
      <c r="D43" t="s">
        <v>15</v>
      </c>
      <c r="E43" t="s">
        <v>16</v>
      </c>
      <c r="F43" t="s">
        <v>17</v>
      </c>
      <c r="G43">
        <v>3</v>
      </c>
      <c r="H43" s="3">
        <v>8500</v>
      </c>
      <c r="I43" t="s">
        <v>26</v>
      </c>
      <c r="J43" t="s">
        <v>27</v>
      </c>
      <c r="K43" s="3" t="s">
        <v>20</v>
      </c>
      <c r="L43" s="15">
        <v>25500</v>
      </c>
      <c r="M43" t="s">
        <v>82</v>
      </c>
    </row>
    <row r="44" spans="1:13">
      <c r="A44" t="s">
        <v>94</v>
      </c>
      <c r="B44" s="2">
        <v>46281</v>
      </c>
      <c r="C44" t="s">
        <v>62</v>
      </c>
      <c r="D44" t="s">
        <v>42</v>
      </c>
      <c r="E44" t="s">
        <v>38</v>
      </c>
      <c r="F44" t="s">
        <v>25</v>
      </c>
      <c r="G44">
        <v>1</v>
      </c>
      <c r="H44" s="3">
        <v>2500</v>
      </c>
      <c r="I44" t="s">
        <v>18</v>
      </c>
      <c r="J44" t="s">
        <v>19</v>
      </c>
      <c r="K44" s="3" t="s">
        <v>48</v>
      </c>
      <c r="L44" s="15">
        <v>2500</v>
      </c>
      <c r="M44" t="s">
        <v>82</v>
      </c>
    </row>
    <row r="45" spans="1:13">
      <c r="A45" t="s">
        <v>81</v>
      </c>
      <c r="B45" s="2">
        <v>46285</v>
      </c>
      <c r="C45" t="s">
        <v>14</v>
      </c>
      <c r="D45" t="s">
        <v>31</v>
      </c>
      <c r="E45" t="s">
        <v>38</v>
      </c>
      <c r="F45" t="s">
        <v>25</v>
      </c>
      <c r="G45">
        <v>5</v>
      </c>
      <c r="H45" s="3">
        <v>2500</v>
      </c>
      <c r="I45" t="s">
        <v>26</v>
      </c>
      <c r="J45" t="s">
        <v>27</v>
      </c>
      <c r="K45" s="3" t="s">
        <v>20</v>
      </c>
      <c r="L45" s="15">
        <v>12500</v>
      </c>
      <c r="M45" t="s">
        <v>82</v>
      </c>
    </row>
  </sheetData>
  <autoFilter ref="A1:M45" xr:uid="{00000000-0001-0000-0000-000000000000}">
    <sortState xmlns:xlrd2="http://schemas.microsoft.com/office/spreadsheetml/2017/richdata2" ref="A2:M45">
      <sortCondition ref="B1:B45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8"/>
  <sheetViews>
    <sheetView topLeftCell="A22" workbookViewId="0">
      <selection activeCell="F38" sqref="F38"/>
    </sheetView>
  </sheetViews>
  <sheetFormatPr defaultRowHeight="14.5"/>
  <cols>
    <col min="1" max="1" width="24.1796875" customWidth="1"/>
    <col min="2" max="2" width="22.7265625" customWidth="1"/>
    <col min="3" max="3" width="8.54296875" customWidth="1"/>
    <col min="4" max="4" width="12.1796875" customWidth="1"/>
    <col min="5" max="5" width="6.7265625" customWidth="1"/>
    <col min="6" max="11" width="20" customWidth="1"/>
  </cols>
  <sheetData>
    <row r="1" spans="1:9" ht="23.5">
      <c r="A1" s="4" t="s">
        <v>109</v>
      </c>
    </row>
    <row r="3" spans="1:9">
      <c r="A3" s="5" t="s">
        <v>110</v>
      </c>
      <c r="B3">
        <v>44</v>
      </c>
    </row>
    <row r="4" spans="1:9">
      <c r="A4" s="5" t="s">
        <v>111</v>
      </c>
      <c r="B4">
        <v>124</v>
      </c>
    </row>
    <row r="5" spans="1:9">
      <c r="A5" s="5" t="s">
        <v>123</v>
      </c>
      <c r="B5" s="6">
        <v>1666500</v>
      </c>
    </row>
    <row r="6" spans="1:9">
      <c r="A6" s="5" t="s">
        <v>122</v>
      </c>
      <c r="B6" s="6">
        <v>37875</v>
      </c>
    </row>
    <row r="7" spans="1:9">
      <c r="A7" s="5" t="s">
        <v>124</v>
      </c>
      <c r="B7" s="6">
        <v>27750</v>
      </c>
    </row>
    <row r="8" spans="1:9">
      <c r="A8" s="5" t="s">
        <v>112</v>
      </c>
      <c r="B8" s="6" t="s">
        <v>32</v>
      </c>
    </row>
    <row r="9" spans="1:9">
      <c r="A9" s="5" t="s">
        <v>113</v>
      </c>
      <c r="B9" s="6" t="s">
        <v>15</v>
      </c>
    </row>
    <row r="10" spans="1:9">
      <c r="A10" s="5" t="s">
        <v>114</v>
      </c>
      <c r="B10" s="6" t="s">
        <v>125</v>
      </c>
    </row>
    <row r="13" spans="1:9" ht="17">
      <c r="A13" s="11" t="s">
        <v>126</v>
      </c>
      <c r="B13" s="11"/>
      <c r="C13" s="11"/>
      <c r="D13" s="11"/>
      <c r="F13" s="11" t="s">
        <v>127</v>
      </c>
      <c r="G13" s="11"/>
      <c r="H13" s="11"/>
      <c r="I13" s="11"/>
    </row>
    <row r="14" spans="1:9">
      <c r="A14" s="8" t="s">
        <v>4</v>
      </c>
      <c r="B14" s="8" t="s">
        <v>115</v>
      </c>
      <c r="C14" s="8" t="s">
        <v>116</v>
      </c>
      <c r="D14" s="8" t="s">
        <v>11</v>
      </c>
      <c r="F14" s="8" t="s">
        <v>3</v>
      </c>
      <c r="G14" s="8" t="s">
        <v>115</v>
      </c>
      <c r="H14" s="8" t="s">
        <v>116</v>
      </c>
      <c r="I14" s="8" t="s">
        <v>11</v>
      </c>
    </row>
    <row r="15" spans="1:9">
      <c r="A15" t="s">
        <v>32</v>
      </c>
      <c r="B15">
        <v>8</v>
      </c>
      <c r="C15">
        <v>18</v>
      </c>
      <c r="D15" s="15">
        <v>780000</v>
      </c>
      <c r="F15" t="s">
        <v>15</v>
      </c>
      <c r="G15">
        <v>15</v>
      </c>
      <c r="H15">
        <v>41</v>
      </c>
      <c r="I15" s="15">
        <v>632000</v>
      </c>
    </row>
    <row r="16" spans="1:9">
      <c r="A16" t="s">
        <v>56</v>
      </c>
      <c r="B16">
        <v>8</v>
      </c>
      <c r="C16">
        <v>18</v>
      </c>
      <c r="D16" s="15">
        <v>270000</v>
      </c>
      <c r="F16" t="s">
        <v>42</v>
      </c>
      <c r="G16">
        <v>12</v>
      </c>
      <c r="H16">
        <v>36</v>
      </c>
      <c r="I16" s="15">
        <v>569500</v>
      </c>
    </row>
    <row r="17" spans="1:9">
      <c r="A17" t="s">
        <v>73</v>
      </c>
      <c r="B17">
        <v>5</v>
      </c>
      <c r="C17">
        <v>20</v>
      </c>
      <c r="D17" s="15">
        <v>240000</v>
      </c>
      <c r="F17" t="s">
        <v>31</v>
      </c>
      <c r="G17">
        <v>10</v>
      </c>
      <c r="H17">
        <v>27</v>
      </c>
      <c r="I17" s="15">
        <v>294500</v>
      </c>
    </row>
    <row r="18" spans="1:9">
      <c r="A18" t="s">
        <v>16</v>
      </c>
      <c r="B18">
        <v>6</v>
      </c>
      <c r="C18">
        <v>20</v>
      </c>
      <c r="D18" s="15">
        <v>170000</v>
      </c>
      <c r="F18" t="s">
        <v>52</v>
      </c>
      <c r="G18">
        <v>6</v>
      </c>
      <c r="H18">
        <v>15</v>
      </c>
      <c r="I18" s="15">
        <v>158000</v>
      </c>
    </row>
    <row r="19" spans="1:9">
      <c r="A19" t="s">
        <v>38</v>
      </c>
      <c r="B19">
        <v>9</v>
      </c>
      <c r="C19">
        <v>24</v>
      </c>
      <c r="D19" s="15">
        <v>122500</v>
      </c>
      <c r="F19" t="s">
        <v>41</v>
      </c>
      <c r="G19">
        <v>1</v>
      </c>
      <c r="H19">
        <v>5</v>
      </c>
      <c r="I19" s="15">
        <v>12500</v>
      </c>
    </row>
    <row r="20" spans="1:9">
      <c r="A20" t="s">
        <v>24</v>
      </c>
      <c r="B20">
        <v>8</v>
      </c>
      <c r="C20">
        <v>24</v>
      </c>
      <c r="D20" s="15">
        <v>84000</v>
      </c>
    </row>
    <row r="22" spans="1:9" ht="17">
      <c r="A22" s="11" t="s">
        <v>117</v>
      </c>
      <c r="B22" s="11"/>
      <c r="C22" s="11"/>
      <c r="D22" s="11"/>
      <c r="F22" s="11" t="s">
        <v>128</v>
      </c>
      <c r="G22" s="11"/>
      <c r="H22" s="11"/>
      <c r="I22" s="11"/>
    </row>
    <row r="23" spans="1:9">
      <c r="A23" s="8" t="s">
        <v>12</v>
      </c>
      <c r="B23" s="8" t="s">
        <v>115</v>
      </c>
      <c r="C23" s="8" t="s">
        <v>116</v>
      </c>
      <c r="D23" s="8" t="s">
        <v>129</v>
      </c>
      <c r="F23" s="8" t="s">
        <v>5</v>
      </c>
      <c r="G23" s="8" t="s">
        <v>115</v>
      </c>
      <c r="H23" s="8" t="s">
        <v>116</v>
      </c>
      <c r="I23" s="8" t="s">
        <v>11</v>
      </c>
    </row>
    <row r="24" spans="1:9">
      <c r="A24" s="10" t="s">
        <v>28</v>
      </c>
      <c r="B24">
        <v>8</v>
      </c>
      <c r="C24">
        <v>19</v>
      </c>
      <c r="D24" s="16">
        <v>213000</v>
      </c>
      <c r="F24" t="s">
        <v>25</v>
      </c>
      <c r="G24">
        <v>33</v>
      </c>
      <c r="H24">
        <v>84</v>
      </c>
      <c r="I24" s="15">
        <v>1256500</v>
      </c>
    </row>
    <row r="25" spans="1:9">
      <c r="A25" s="10" t="s">
        <v>49</v>
      </c>
      <c r="B25">
        <v>4</v>
      </c>
      <c r="C25">
        <v>8</v>
      </c>
      <c r="D25" s="16">
        <v>117500</v>
      </c>
      <c r="F25" t="s">
        <v>17</v>
      </c>
      <c r="G25">
        <v>11</v>
      </c>
      <c r="H25">
        <v>40</v>
      </c>
      <c r="I25" s="15">
        <v>410000</v>
      </c>
    </row>
    <row r="26" spans="1:9">
      <c r="A26" s="10" t="s">
        <v>21</v>
      </c>
      <c r="B26">
        <v>7</v>
      </c>
      <c r="C26">
        <v>21</v>
      </c>
      <c r="D26" s="16">
        <v>315500</v>
      </c>
    </row>
    <row r="27" spans="1:9" ht="17">
      <c r="A27" s="10" t="s">
        <v>35</v>
      </c>
      <c r="B27">
        <v>7</v>
      </c>
      <c r="C27">
        <v>19</v>
      </c>
      <c r="D27" s="16">
        <v>477500</v>
      </c>
      <c r="F27" s="11" t="s">
        <v>119</v>
      </c>
      <c r="G27" s="11"/>
      <c r="H27" s="11"/>
    </row>
    <row r="28" spans="1:9">
      <c r="A28" s="10" t="s">
        <v>80</v>
      </c>
      <c r="B28">
        <v>3</v>
      </c>
      <c r="C28">
        <v>12</v>
      </c>
      <c r="D28" s="16">
        <v>101000</v>
      </c>
      <c r="F28" s="8" t="s">
        <v>9</v>
      </c>
      <c r="G28" s="8" t="s">
        <v>115</v>
      </c>
      <c r="H28" s="8" t="s">
        <v>11</v>
      </c>
    </row>
    <row r="29" spans="1:9">
      <c r="A29" s="10" t="s">
        <v>60</v>
      </c>
      <c r="B29">
        <v>4</v>
      </c>
      <c r="C29">
        <v>14</v>
      </c>
      <c r="D29" s="16">
        <v>139500</v>
      </c>
      <c r="F29" t="s">
        <v>19</v>
      </c>
      <c r="G29">
        <v>16</v>
      </c>
      <c r="H29" s="15">
        <v>648500</v>
      </c>
    </row>
    <row r="30" spans="1:9">
      <c r="A30" s="10" t="s">
        <v>74</v>
      </c>
      <c r="B30">
        <v>4</v>
      </c>
      <c r="C30">
        <v>14</v>
      </c>
      <c r="D30" s="16">
        <v>174000</v>
      </c>
      <c r="F30" t="s">
        <v>53</v>
      </c>
      <c r="G30">
        <v>10</v>
      </c>
      <c r="H30" s="15">
        <v>501000</v>
      </c>
    </row>
    <row r="31" spans="1:9">
      <c r="A31" s="10" t="s">
        <v>54</v>
      </c>
      <c r="B31">
        <v>4</v>
      </c>
      <c r="C31">
        <v>8</v>
      </c>
      <c r="D31" s="16">
        <v>88000</v>
      </c>
      <c r="F31" t="s">
        <v>33</v>
      </c>
      <c r="G31">
        <v>10</v>
      </c>
      <c r="H31" s="15">
        <v>364500</v>
      </c>
    </row>
    <row r="32" spans="1:9">
      <c r="A32" s="10" t="s">
        <v>82</v>
      </c>
      <c r="B32">
        <v>3</v>
      </c>
      <c r="C32">
        <v>9</v>
      </c>
      <c r="D32" s="16">
        <v>40500</v>
      </c>
      <c r="F32" t="s">
        <v>27</v>
      </c>
      <c r="G32">
        <v>8</v>
      </c>
      <c r="H32" s="15">
        <v>152500</v>
      </c>
    </row>
    <row r="34" spans="1:3" ht="17">
      <c r="A34" s="11" t="s">
        <v>118</v>
      </c>
      <c r="B34" s="11"/>
      <c r="C34" s="11"/>
    </row>
    <row r="35" spans="1:3">
      <c r="A35" s="8" t="s">
        <v>8</v>
      </c>
      <c r="B35" s="8" t="s">
        <v>115</v>
      </c>
      <c r="C35" s="8" t="s">
        <v>11</v>
      </c>
    </row>
    <row r="36" spans="1:3">
      <c r="A36" t="s">
        <v>18</v>
      </c>
      <c r="B36">
        <v>17</v>
      </c>
      <c r="C36" s="15">
        <v>670500</v>
      </c>
    </row>
    <row r="37" spans="1:3">
      <c r="A37" t="s">
        <v>26</v>
      </c>
      <c r="B37">
        <v>13</v>
      </c>
      <c r="C37" s="15">
        <v>501500</v>
      </c>
    </row>
    <row r="38" spans="1:3">
      <c r="A38" t="s">
        <v>45</v>
      </c>
      <c r="B38">
        <v>4</v>
      </c>
      <c r="C38" s="15">
        <v>269500</v>
      </c>
    </row>
    <row r="39" spans="1:3">
      <c r="A39" t="s">
        <v>39</v>
      </c>
      <c r="B39">
        <v>10</v>
      </c>
      <c r="C39" s="15">
        <v>225000</v>
      </c>
    </row>
    <row r="57" spans="2:4" ht="17">
      <c r="B57" s="7"/>
    </row>
    <row r="58" spans="2:4">
      <c r="B58" s="17"/>
      <c r="C58" s="17"/>
      <c r="D58" s="17"/>
    </row>
  </sheetData>
  <mergeCells count="6">
    <mergeCell ref="F13:I13"/>
    <mergeCell ref="F22:I22"/>
    <mergeCell ref="F27:H27"/>
    <mergeCell ref="A34:C34"/>
    <mergeCell ref="A13:D13"/>
    <mergeCell ref="A22:D2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0"/>
  <sheetViews>
    <sheetView showGridLines="0" topLeftCell="F17" workbookViewId="0">
      <selection activeCell="I34" sqref="I34"/>
    </sheetView>
  </sheetViews>
  <sheetFormatPr defaultRowHeight="14.5"/>
  <cols>
    <col min="1" max="12" width="18" customWidth="1"/>
  </cols>
  <sheetData>
    <row r="1" spans="1:9" ht="23.5">
      <c r="A1" s="4" t="s">
        <v>120</v>
      </c>
    </row>
    <row r="2" spans="1:9">
      <c r="H2" s="14" t="s">
        <v>3</v>
      </c>
      <c r="I2" s="14" t="s">
        <v>11</v>
      </c>
    </row>
    <row r="3" spans="1:9">
      <c r="A3" s="14" t="s">
        <v>4</v>
      </c>
      <c r="B3" s="14" t="s">
        <v>11</v>
      </c>
      <c r="H3" t="s">
        <v>15</v>
      </c>
      <c r="I3" s="13">
        <v>632000</v>
      </c>
    </row>
    <row r="4" spans="1:9">
      <c r="A4" t="s">
        <v>32</v>
      </c>
      <c r="B4" s="12">
        <v>780000</v>
      </c>
      <c r="H4" t="s">
        <v>42</v>
      </c>
      <c r="I4" s="13">
        <v>569500</v>
      </c>
    </row>
    <row r="5" spans="1:9">
      <c r="A5" t="s">
        <v>56</v>
      </c>
      <c r="B5" s="12">
        <v>270000</v>
      </c>
      <c r="H5" t="s">
        <v>31</v>
      </c>
      <c r="I5" s="13">
        <v>294500</v>
      </c>
    </row>
    <row r="6" spans="1:9">
      <c r="A6" t="s">
        <v>73</v>
      </c>
      <c r="B6" s="12">
        <v>240000</v>
      </c>
      <c r="H6" t="s">
        <v>52</v>
      </c>
      <c r="I6" s="13">
        <v>158000</v>
      </c>
    </row>
    <row r="7" spans="1:9">
      <c r="A7" t="s">
        <v>16</v>
      </c>
      <c r="B7" s="12">
        <v>170000</v>
      </c>
      <c r="H7" t="s">
        <v>41</v>
      </c>
      <c r="I7" s="13">
        <v>12500</v>
      </c>
    </row>
    <row r="8" spans="1:9">
      <c r="A8" t="s">
        <v>38</v>
      </c>
      <c r="B8" s="12">
        <v>122500</v>
      </c>
    </row>
    <row r="9" spans="1:9">
      <c r="A9" t="s">
        <v>24</v>
      </c>
      <c r="B9" s="12">
        <v>84000</v>
      </c>
    </row>
    <row r="21" spans="1:9">
      <c r="H21" s="14" t="s">
        <v>12</v>
      </c>
      <c r="I21" s="14" t="s">
        <v>11</v>
      </c>
    </row>
    <row r="22" spans="1:9">
      <c r="H22" t="s">
        <v>28</v>
      </c>
      <c r="I22">
        <v>213000</v>
      </c>
    </row>
    <row r="23" spans="1:9">
      <c r="H23" t="s">
        <v>49</v>
      </c>
      <c r="I23">
        <v>117500</v>
      </c>
    </row>
    <row r="24" spans="1:9">
      <c r="H24" t="s">
        <v>21</v>
      </c>
      <c r="I24">
        <v>315500</v>
      </c>
    </row>
    <row r="25" spans="1:9">
      <c r="H25" t="s">
        <v>35</v>
      </c>
      <c r="I25">
        <v>477500</v>
      </c>
    </row>
    <row r="26" spans="1:9">
      <c r="H26" t="s">
        <v>80</v>
      </c>
      <c r="I26">
        <v>101000</v>
      </c>
    </row>
    <row r="27" spans="1:9">
      <c r="A27" s="14" t="s">
        <v>5</v>
      </c>
      <c r="B27" s="14" t="s">
        <v>11</v>
      </c>
      <c r="H27" t="s">
        <v>60</v>
      </c>
      <c r="I27">
        <v>139500</v>
      </c>
    </row>
    <row r="28" spans="1:9">
      <c r="A28" t="s">
        <v>25</v>
      </c>
      <c r="B28" s="13">
        <v>1256500</v>
      </c>
      <c r="H28" t="s">
        <v>74</v>
      </c>
      <c r="I28">
        <v>174000</v>
      </c>
    </row>
    <row r="29" spans="1:9">
      <c r="A29" t="s">
        <v>17</v>
      </c>
      <c r="B29" s="13">
        <v>410000</v>
      </c>
      <c r="H29" t="s">
        <v>54</v>
      </c>
      <c r="I29">
        <v>88000</v>
      </c>
    </row>
    <row r="30" spans="1:9">
      <c r="H30" t="s">
        <v>82</v>
      </c>
      <c r="I30">
        <v>40500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9"/>
  <sheetViews>
    <sheetView tabSelected="1" workbookViewId="0">
      <selection activeCell="F7" sqref="F7"/>
    </sheetView>
  </sheetViews>
  <sheetFormatPr defaultRowHeight="14.5"/>
  <cols>
    <col min="1" max="1" width="120" customWidth="1"/>
  </cols>
  <sheetData>
    <row r="1" spans="1:1" ht="23.5">
      <c r="A1" s="4" t="s">
        <v>121</v>
      </c>
    </row>
    <row r="3" spans="1:1" ht="40" customHeight="1">
      <c r="A3" s="9" t="s">
        <v>130</v>
      </c>
    </row>
    <row r="4" spans="1:1" ht="40" customHeight="1">
      <c r="A4" s="9" t="s">
        <v>131</v>
      </c>
    </row>
    <row r="5" spans="1:1" ht="40" customHeight="1">
      <c r="A5" s="9" t="s">
        <v>132</v>
      </c>
    </row>
    <row r="6" spans="1:1" ht="40" customHeight="1">
      <c r="A6" s="9" t="s">
        <v>133</v>
      </c>
    </row>
    <row r="7" spans="1:1" ht="40" customHeight="1">
      <c r="A7" s="9" t="s">
        <v>134</v>
      </c>
    </row>
    <row r="8" spans="1:1" ht="40" customHeight="1">
      <c r="A8" s="9" t="s">
        <v>135</v>
      </c>
    </row>
    <row r="9" spans="1:1" ht="40" customHeight="1">
      <c r="A9" s="9" t="s">
        <v>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EDA_Analysis</vt:lpstr>
      <vt:lpstr>EDA_Summary</vt:lpstr>
      <vt:lpstr>Charts</vt:lpstr>
      <vt:lpstr>Insights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Venkatesh Thatte</cp:lastModifiedBy>
  <dcterms:created xsi:type="dcterms:W3CDTF">2026-09-28T13:59:29Z</dcterms:created>
  <dcterms:modified xsi:type="dcterms:W3CDTF">2026-10-06T07:37:27Z</dcterms:modified>
</cp:coreProperties>
</file>